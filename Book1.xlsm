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Lenovo\OneDrive\Desktop\"/>
    </mc:Choice>
  </mc:AlternateContent>
  <bookViews>
    <workbookView xWindow="0" yWindow="0" windowWidth="20490" windowHeight="7350" activeTab="6"/>
  </bookViews>
  <sheets>
    <sheet name="Break" sheetId="1" r:id="rId1"/>
    <sheet name="Efficiency" sheetId="2" r:id="rId2"/>
    <sheet name="Overall Performence" sheetId="3" r:id="rId3"/>
    <sheet name="Summary" sheetId="4" r:id="rId4"/>
    <sheet name="Sheet6" sheetId="7" r:id="rId5"/>
    <sheet name="Sheet7" sheetId="8" r:id="rId6"/>
    <sheet name="Dashboard" sheetId="5" r:id="rId7"/>
  </sheets>
  <definedNames>
    <definedName name="BData">Break!$A:$I</definedName>
    <definedName name="Break">Break!$A:$I</definedName>
    <definedName name="E_Data">Efficiency!$A:$Q</definedName>
    <definedName name="EData">Efficiency!$C:$Q</definedName>
    <definedName name="PData">'Overall Performence'!$A:$J</definedName>
  </definedNames>
  <calcPr calcId="162913"/>
  <pivotCaches>
    <pivotCache cacheId="16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<sst xmlns="http://schemas.openxmlformats.org/spreadsheetml/2006/main" count="3054" uniqueCount="1148">
  <si>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</si>
  <si>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</si>
  <si>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</si>
  <si>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</si>
  <si>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</si>
  <si>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</si>
  <si>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</si>
  <si>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</si>
  <si>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</si>
  <si>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</si>
  <si>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</si>
  <si>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</si>
  <si>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</si>
  <si>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</si>
  <si>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</si>
  <si>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</si>
  <si>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</si>
  <si>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</si>
  <si>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</si>
  <si>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</si>
  <si>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</si>
  <si>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</si>
  <si>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</si>
  <si>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</si>
  <si>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</si>
  <si>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</si>
  <si>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</si>
  <si>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</si>
  <si>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</si>
  <si>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</si>
  <si>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</si>
  <si>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</si>
  <si>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</si>
  <si>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</si>
  <si>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</si>
  <si>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</si>
  <si>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</si>
  <si>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</si>
  <si>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</si>
  <si>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</si>
  <si>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</si>
  <si>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</si>
  <si>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</si>
  <si>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</si>
  <si>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</si>
  <si>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</si>
  <si>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</si>
  <si>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</si>
  <si>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</si>
  <si>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</si>
  <si>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</si>
  <si>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</si>
  <si>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</si>
  <si>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</si>
  <si>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</si>
  <si>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</si>
  <si>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</si>
  <si>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</si>
  <si>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</si>
  <si>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</si>
  <si>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</si>
  <si>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</si>
  <si>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</si>
  <si>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</si>
  <si>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</si>
  <si>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</si>
  <si>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</si>
  <si>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</si>
  <si>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</si>
  <si>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</si>
  <si>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</si>
  <si>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</si>
  <si>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</si>
  <si>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</si>
  <si>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</si>
  <si>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</si>
  <si>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</si>
  <si>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</si>
  <si>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</si>
  <si>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</si>
  <si>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</si>
  <si>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</si>
  <si>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</si>
  <si>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</si>
  <si>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</si>
  <si>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</si>
  <si>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</si>
  <si>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</si>
  <si>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</si>
  <si>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</si>
  <si>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</si>
  <si>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</si>
  <si>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</si>
  <si>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</si>
  <si>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</si>
  <si>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</si>
  <si>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</si>
  <si>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</si>
  <si>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</si>
  <si>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</si>
  <si>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</si>
  <si>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</si>
  <si>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</si>
  <si>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</si>
  <si>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</si>
  <si>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</si>
  <si>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</si>
  <si>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</si>
  <si>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</si>
  <si>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</si>
  <si>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</si>
  <si>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</si>
  <si>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</si>
  <si>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</si>
  <si>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</si>
  <si>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</si>
  <si>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</si>
  <si>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</si>
  <si>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</si>
  <si>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</si>
  <si>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</si>
  <si>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</si>
  <si>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</si>
  <si>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</si>
  <si>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</si>
  <si>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</si>
  <si>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</si>
  <si>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</si>
  <si>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</si>
  <si>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</si>
  <si>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</si>
  <si>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</si>
  <si>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</si>
  <si>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</si>
  <si>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</si>
  <si>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</si>
  <si>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</si>
  <si>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</si>
  <si>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</si>
  <si>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</si>
  <si>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</si>
  <si>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</si>
  <si>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</si>
  <si>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</si>
  <si>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</si>
  <si>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</si>
  <si>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</si>
  <si>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</si>
  <si>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</si>
  <si>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</si>
  <si>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</si>
  <si>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</si>
  <si>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</si>
  <si>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</si>
  <si>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</si>
  <si>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</si>
  <si>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</si>
  <si>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</si>
  <si>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</si>
  <si>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</si>
  <si>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</si>
  <si>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</si>
  <si>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</si>
  <si>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</si>
  <si>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</si>
  <si>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</si>
  <si>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</si>
  <si>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</si>
  <si>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</si>
  <si>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</si>
  <si>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</si>
  <si>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</si>
  <si>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</si>
  <si>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</si>
  <si>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</si>
  <si>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</si>
  <si>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</si>
  <si>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</si>
  <si>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</si>
  <si>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</si>
  <si>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</si>
  <si>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</si>
  <si>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</si>
  <si>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</si>
  <si>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</si>
  <si>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</si>
  <si>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</si>
  <si>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</si>
  <si>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</si>
  <si>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</si>
  <si>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</si>
  <si>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</si>
  <si>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</si>
  <si>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</si>
  <si>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</si>
  <si>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</si>
  <si>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</si>
  <si>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</si>
  <si>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</si>
  <si>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</si>
  <si>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</si>
  <si>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</si>
  <si>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</si>
  <si>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</si>
  <si>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</si>
  <si>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</si>
  <si>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</si>
  <si>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</si>
  <si>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</si>
  <si>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</si>
  <si>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</si>
  <si>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</si>
  <si>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</si>
  <si>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</si>
  <si>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</si>
  <si>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</si>
  <si>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</si>
  <si>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</si>
  <si>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</si>
  <si>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</si>
  <si>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</si>
  <si>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</si>
  <si>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</si>
  <si>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</si>
  <si>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</si>
  <si>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</si>
  <si>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</si>
  <si>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</si>
  <si>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</si>
  <si>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</si>
  <si>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</si>
  <si>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</si>
  <si>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</si>
  <si>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</si>
  <si>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</si>
  <si>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</si>
  <si>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</si>
  <si>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</si>
  <si>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</si>
  <si>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</si>
  <si>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</si>
  <si>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</si>
  <si>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</si>
  <si>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</si>
  <si>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</si>
  <si>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</si>
  <si>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</si>
  <si>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</si>
  <si>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</si>
  <si>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</si>
  <si>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</si>
  <si>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</si>
  <si>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</si>
  <si>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</si>
  <si>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</si>
  <si>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</si>
  <si>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</si>
  <si>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</si>
  <si>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</si>
  <si>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</si>
  <si>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</si>
  <si>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</si>
  <si>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</si>
  <si>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</si>
  <si>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</si>
  <si>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</si>
  <si>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</si>
  <si>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</si>
  <si>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</si>
  <si>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</si>
  <si>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</si>
  <si>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</si>
  <si>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</si>
  <si>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</si>
  <si>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</si>
  <si>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</si>
  <si>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</si>
  <si>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</si>
  <si>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</si>
  <si>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</si>
  <si>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</si>
  <si>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</si>
  <si>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</si>
  <si>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</si>
  <si>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</si>
  <si>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</si>
  <si>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</si>
  <si>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</si>
  <si>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</si>
  <si>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</si>
  <si>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</si>
  <si>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</si>
  <si>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</si>
  <si>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</si>
  <si>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</si>
  <si>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</si>
  <si>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</si>
  <si>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</si>
  <si>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</si>
  <si>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</si>
  <si>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</si>
  <si>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</si>
  <si>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</si>
  <si>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</si>
  <si>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</si>
  <si>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</si>
  <si>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</si>
  <si>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</si>
  <si>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</si>
  <si>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</si>
  <si>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</si>
  <si>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</si>
  <si>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</si>
  <si>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</si>
  <si>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</si>
  <si>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</si>
  <si>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</si>
  <si>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</si>
  <si>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</si>
  <si>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</si>
  <si>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</si>
  <si>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</si>
  <si>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</si>
  <si>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</si>
  <si>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</si>
  <si>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</si>
  <si>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</si>
  <si>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</si>
  <si>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</si>
  <si>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</si>
  <si>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</si>
  <si>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</si>
  <si>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</si>
  <si>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</si>
  <si>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</si>
  <si>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</si>
  <si>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</si>
  <si>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</si>
  <si>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</si>
  <si>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</si>
  <si>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</si>
  <si>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</si>
  <si>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</si>
  <si>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</si>
  <si>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</si>
  <si>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</si>
  <si>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</si>
  <si>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</si>
  <si>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</si>
  <si>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</si>
  <si>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</si>
  <si>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</si>
  <si>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</si>
  <si>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</si>
  <si>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</si>
  <si>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</si>
  <si>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</si>
  <si>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</si>
  <si>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</si>
  <si>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</si>
  <si>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</si>
  <si>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</si>
  <si>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</si>
  <si>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</si>
  <si>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</si>
  <si>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</si>
  <si>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</si>
  <si>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</si>
  <si>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</si>
  <si>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</si>
  <si>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</si>
  <si>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</si>
  <si>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</si>
  <si>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</si>
  <si>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</si>
  <si>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</si>
  <si>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</si>
  <si>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</si>
  <si>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</si>
  <si>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</si>
  <si>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</si>
  <si>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</si>
  <si>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</si>
  <si>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</si>
  <si>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</si>
  <si>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</si>
  <si>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</si>
  <si>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</si>
  <si>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</si>
  <si>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</si>
  <si>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</si>
  <si>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</si>
  <si>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</si>
  <si>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</si>
  <si>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</si>
  <si>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</si>
  <si>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</si>
  <si>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</si>
  <si>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</si>
  <si>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</si>
  <si>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</si>
  <si>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</si>
  <si>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</si>
  <si>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</si>
  <si>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</si>
  <si>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</si>
  <si>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</si>
  <si>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</si>
  <si>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</si>
  <si>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</si>
  <si>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</si>
  <si>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</si>
  <si>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</si>
  <si>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</si>
  <si>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</si>
  <si>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</si>
  <si>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</si>
  <si>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</si>
  <si>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</si>
  <si>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</si>
  <si>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</si>
  <si>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</si>
  <si>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</si>
  <si>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</si>
  <si>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</si>
  <si>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</si>
  <si>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</si>
  <si>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</si>
  <si>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</si>
  <si>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</si>
  <si>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</si>
  <si>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</si>
  <si>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</si>
  <si>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</si>
  <si>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</si>
  <si>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</si>
  <si>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</si>
  <si>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</si>
  <si>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</si>
  <si>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</si>
  <si>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</si>
  <si>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</si>
  <si>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</si>
  <si>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</si>
  <si>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</si>
  <si>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</si>
  <si>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</si>
  <si>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</si>
  <si>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</si>
  <si>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</si>
  <si>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</si>
  <si>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</si>
  <si>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</si>
  <si>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</si>
  <si>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</si>
  <si>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</si>
  <si>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</si>
  <si>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</si>
  <si>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</si>
  <si>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</si>
  <si>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</si>
  <si>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</si>
  <si>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</si>
  <si>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</si>
  <si>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</si>
  <si>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</si>
  <si>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</si>
  <si>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</si>
  <si>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</si>
  <si>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</si>
  <si>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</si>
  <si>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</si>
  <si>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</si>
  <si>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</si>
  <si>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</si>
  <si>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</si>
  <si>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</si>
  <si>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</si>
  <si>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</si>
  <si>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</si>
  <si>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</si>
  <si>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</si>
  <si>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</si>
  <si>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</si>
  <si>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</si>
  <si>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</si>
  <si>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</si>
  <si>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</si>
  <si>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</si>
  <si>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</si>
  <si>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</si>
  <si>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</si>
  <si>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</si>
  <si>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</si>
  <si>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</si>
  <si>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</si>
  <si>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</si>
  <si>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</si>
  <si>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</si>
  <si>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</si>
  <si>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</si>
  <si>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</si>
  <si>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</si>
  <si>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</si>
  <si>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</si>
  <si>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</si>
  <si>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</si>
  <si>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</si>
  <si>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</si>
  <si>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</si>
  <si>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</si>
  <si>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</si>
  <si>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</si>
  <si>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</si>
  <si>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</si>
  <si>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</si>
  <si>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</si>
  <si>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</si>
  <si>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</si>
  <si>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</si>
  <si>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</si>
  <si>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</si>
  <si>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</si>
  <si>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</si>
  <si>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</si>
  <si>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</si>
  <si>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</si>
  <si>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</si>
  <si>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</si>
  <si>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</si>
  <si>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</si>
  <si>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</si>
  <si>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</si>
  <si>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</si>
  <si>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</si>
  <si>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</si>
  <si>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</si>
  <si>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</si>
  <si>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</si>
  <si>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</si>
  <si>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</si>
  <si>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</si>
  <si>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</si>
  <si>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</si>
  <si>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</si>
  <si>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</si>
  <si>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</si>
  <si>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</si>
  <si>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</si>
  <si>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</si>
  <si>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</si>
  <si>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</si>
  <si>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</si>
  <si>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</si>
  <si>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</si>
  <si>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</si>
  <si>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</si>
  <si>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</si>
  <si>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</si>
  <si>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</si>
  <si>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</si>
  <si>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</si>
  <si>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</si>
  <si>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</si>
  <si>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</si>
  <si>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</si>
  <si>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</si>
  <si>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</si>
  <si>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</si>
  <si>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</si>
  <si>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</si>
  <si>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</si>
  <si>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</si>
  <si>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</si>
  <si>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</si>
  <si>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</si>
  <si>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</si>
  <si>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</si>
  <si>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</si>
  <si>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</si>
  <si>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</si>
  <si>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</si>
  <si>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</si>
  <si>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</si>
  <si>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</si>
  <si>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</si>
  <si>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</si>
  <si>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</si>
  <si>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</si>
  <si>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</si>
  <si>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</si>
  <si>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</si>
  <si>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</si>
  <si>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</si>
  <si>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</si>
  <si>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</si>
  <si>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</si>
  <si>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</si>
  <si>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</si>
  <si>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</si>
  <si>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</si>
  <si>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</si>
  <si>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</si>
  <si>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</si>
  <si>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</si>
  <si>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</si>
  <si>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</si>
  <si>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</si>
  <si>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</si>
  <si>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</si>
  <si>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</si>
  <si>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</si>
  <si>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</si>
  <si>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</si>
  <si>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</si>
  <si>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</si>
  <si>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</si>
  <si>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</si>
  <si>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</si>
  <si>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</si>
  <si>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</si>
  <si>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</si>
  <si>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</si>
  <si>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</si>
  <si>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</si>
  <si>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</si>
  <si>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</si>
  <si>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</si>
  <si>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</si>
  <si>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</si>
  <si>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</si>
  <si>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</si>
  <si>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</si>
  <si>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</si>
  <si>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</si>
  <si>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</si>
  <si>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</si>
  <si>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</si>
  <si>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</si>
  <si>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</si>
  <si>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</si>
  <si>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</si>
  <si>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</si>
  <si>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</si>
  <si>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</si>
  <si>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</si>
  <si>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</si>
  <si>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</si>
  <si>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</si>
  <si>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</si>
  <si>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</si>
  <si>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</si>
  <si>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</si>
  <si>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</si>
  <si>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</si>
  <si>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</si>
  <si>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</si>
  <si>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</si>
  <si>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</si>
  <si>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</si>
  <si>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</si>
  <si>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</si>
  <si>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</si>
  <si>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</si>
  <si>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</si>
  <si>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</si>
  <si>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</si>
  <si>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</si>
  <si>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</si>
  <si>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</si>
  <si>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</si>
  <si>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</si>
  <si>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</si>
  <si>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</si>
  <si>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</si>
  <si>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</si>
  <si>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</si>
  <si>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</si>
  <si>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</si>
  <si>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</si>
  <si>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</si>
  <si>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</si>
  <si>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</si>
  <si>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</si>
  <si>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</si>
  <si>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</si>
  <si>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</si>
  <si>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</si>
  <si>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</si>
  <si>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</si>
  <si>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</si>
  <si>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</si>
  <si>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</si>
  <si>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</si>
  <si>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</si>
  <si>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</si>
  <si>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</si>
  <si>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</si>
  <si>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</si>
  <si>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</si>
  <si>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</si>
  <si>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</si>
  <si>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</si>
  <si>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</si>
  <si>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</si>
  <si>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</si>
  <si>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</si>
  <si>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</si>
  <si>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</si>
  <si>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</si>
  <si>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</si>
  <si>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</si>
  <si>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</si>
  <si>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</si>
  <si>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</si>
  <si>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</si>
  <si>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</si>
  <si>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</si>
  <si>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</si>
  <si>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</si>
  <si>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</si>
  <si>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</si>
  <si>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</si>
  <si>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</si>
  <si>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</si>
  <si>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</si>
  <si>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</si>
  <si>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</si>
  <si>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</si>
  <si>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</si>
  <si>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</si>
  <si>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</si>
  <si>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</si>
  <si>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</si>
  <si>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</si>
  <si>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</si>
  <si>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</si>
  <si>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</si>
  <si>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</si>
  <si>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</si>
  <si>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</si>
  <si>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</si>
  <si>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</si>
  <si>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</si>
  <si>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</si>
  <si>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</si>
  <si>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</si>
  <si>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</si>
  <si>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</si>
  <si>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</si>
  <si>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</si>
  <si>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</si>
  <si>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</si>
  <si>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</si>
  <si>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</si>
  <si>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</si>
  <si>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</si>
  <si>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</si>
  <si>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</si>
  <si>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</si>
  <si>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</si>
  <si>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</si>
  <si>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</si>
  <si>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</si>
  <si>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</si>
  <si>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</si>
  <si>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</si>
  <si>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</si>
  <si>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</si>
  <si>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</si>
  <si>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</si>
  <si>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</si>
  <si>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</si>
  <si>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</si>
  <si>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</si>
  <si>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</si>
  <si>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</si>
  <si>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</si>
  <si>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</si>
  <si>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</si>
  <si>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</si>
  <si>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</si>
  <si>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</si>
  <si>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</si>
  <si>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</si>
  <si>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</si>
  <si>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</si>
  <si>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</si>
  <si>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</si>
  <si>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</si>
  <si>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</si>
  <si>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</si>
  <si>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</si>
  <si>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</si>
  <si>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</si>
  <si>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</si>
  <si>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</si>
  <si>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</si>
  <si>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</si>
  <si>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</si>
  <si>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</si>
  <si>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</si>
  <si>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</si>
  <si>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</si>
  <si>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</si>
  <si>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</si>
  <si>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</si>
  <si>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</si>
  <si>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</si>
  <si>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</si>
  <si>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</si>
  <si>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</si>
  <si>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</si>
  <si>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</si>
  <si>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</si>
  <si>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</si>
  <si>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</si>
  <si>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</si>
  <si>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</si>
  <si>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</si>
  <si>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</si>
  <si>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</si>
  <si>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</si>
  <si>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</si>
  <si>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</si>
  <si>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</si>
  <si>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</si>
  <si>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</si>
  <si>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</si>
  <si>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</si>
  <si>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</si>
  <si>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</si>
  <si>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</si>
  <si>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</si>
  <si>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</si>
  <si>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</si>
  <si>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</si>
  <si>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</si>
  <si>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</si>
  <si>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</si>
  <si>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</si>
  <si>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</si>
  <si>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</si>
  <si>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</si>
  <si>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</si>
  <si>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</si>
  <si>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</si>
  <si>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</si>
  <si>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</si>
  <si>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</si>
  <si>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</si>
  <si>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</si>
  <si>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</si>
  <si>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</si>
  <si>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</si>
  <si>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</si>
  <si>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</si>
  <si>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</si>
  <si>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</si>
  <si>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</si>
  <si>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</si>
  <si>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</si>
  <si>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</si>
  <si>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</si>
  <si>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</si>
  <si>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</si>
  <si>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</si>
  <si>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</si>
  <si>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</si>
  <si>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</si>
  <si>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</si>
  <si>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</si>
  <si>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</si>
  <si>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</si>
  <si>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</si>
  <si>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</si>
  <si>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</si>
  <si>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</si>
  <si>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</si>
  <si>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</si>
  <si>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</si>
  <si>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</si>
  <si>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</si>
  <si>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</si>
  <si>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</si>
  <si>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</si>
  <si>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</si>
  <si>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</si>
  <si>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</si>
  <si>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</si>
  <si>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</si>
  <si>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</si>
  <si>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</si>
  <si>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</si>
  <si>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</si>
  <si>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</si>
  <si>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</si>
  <si>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</si>
  <si>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</si>
  <si>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</si>
  <si>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</si>
  <si>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</si>
  <si>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</si>
  <si>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</si>
  <si>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</si>
  <si>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</si>
  <si>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</si>
  <si>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</si>
  <si>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</si>
  <si>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</si>
  <si>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</si>
  <si>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</si>
  <si>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</si>
  <si>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</si>
  <si>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</si>
  <si>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</si>
  <si>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</si>
  <si>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</si>
  <si>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</si>
  <si>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</si>
  <si>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</si>
  <si>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</si>
  <si>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</si>
  <si>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</si>
  <si>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</si>
  <si>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</si>
  <si>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</si>
  <si>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</si>
  <si>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</si>
  <si>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</si>
  <si>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</si>
  <si>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</si>
  <si>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</si>
  <si>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</si>
  <si>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</si>
  <si>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</si>
  <si>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</si>
  <si>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</si>
  <si>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</si>
  <si>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</si>
  <si>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</si>
  <si>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</si>
  <si>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</si>
  <si>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</si>
  <si>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</si>
  <si>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</si>
  <si>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</si>
  <si>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</si>
  <si>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</si>
  <si>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</si>
  <si>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</si>
  <si>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</si>
  <si>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</si>
  <si>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</si>
  <si>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</si>
  <si>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</si>
  <si>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</si>
  <si>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</si>
  <si>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</si>
  <si>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</si>
  <si>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</si>
  <si>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</si>
  <si>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</si>
  <si>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</si>
  <si>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</si>
  <si>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</si>
  <si>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</si>
  <si>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</si>
  <si>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</si>
  <si>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</si>
  <si>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</si>
  <si>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</si>
  <si>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</si>
  <si>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</si>
  <si>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</si>
  <si>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</si>
  <si>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</si>
  <si>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</si>
  <si>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</si>
  <si>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</si>
  <si>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</si>
  <si>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</si>
  <si>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</si>
  <si>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</si>
  <si>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</si>
  <si>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</si>
  <si>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</si>
  <si>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</si>
  <si>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</si>
  <si>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</si>
  <si>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</si>
  <si>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</si>
  <si>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</si>
  <si>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</si>
  <si>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</si>
  <si>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</si>
  <si>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</si>
  <si>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</si>
  <si>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</si>
  <si>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</si>
  <si>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</si>
  <si>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</si>
  <si>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</si>
  <si>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Row Labels</t>
  </si>
  <si>
    <t>Abdul Hamid</t>
  </si>
  <si>
    <t>Afzal Husain</t>
  </si>
  <si>
    <t>Anamika Gupta</t>
  </si>
  <si>
    <t>Anikuttan</t>
  </si>
  <si>
    <t>Anil Kumar</t>
  </si>
  <si>
    <t>Anita Dixit</t>
  </si>
  <si>
    <t>Anita Ghore</t>
  </si>
  <si>
    <t>Anjali Deoram</t>
  </si>
  <si>
    <t>Anjali Sahay</t>
  </si>
  <si>
    <t>Annu Latika</t>
  </si>
  <si>
    <t>Anoop Narayan</t>
  </si>
  <si>
    <t>Anoop Raj</t>
  </si>
  <si>
    <t>Anubhuti Gupta</t>
  </si>
  <si>
    <t>Arun Kumar</t>
  </si>
  <si>
    <t>Ashish Kumar</t>
  </si>
  <si>
    <t>Ashok Kumar</t>
  </si>
  <si>
    <t>Ashok Mahto</t>
  </si>
  <si>
    <t>Atul Kumar</t>
  </si>
  <si>
    <t>Azam</t>
  </si>
  <si>
    <t>Bhagwat Singh</t>
  </si>
  <si>
    <t>Bindu Nair</t>
  </si>
  <si>
    <t>Daleep Singh</t>
  </si>
  <si>
    <t>Deepak Kumar</t>
  </si>
  <si>
    <t>Deepika Nigam</t>
  </si>
  <si>
    <t>Dinesh Kumar</t>
  </si>
  <si>
    <t>Hari Kumar</t>
  </si>
  <si>
    <t>Heeramani Choudhary</t>
  </si>
  <si>
    <t>Indra Pal</t>
  </si>
  <si>
    <t>Indra Singh</t>
  </si>
  <si>
    <t>Jagdish Chandra</t>
  </si>
  <si>
    <t>Jairaj Vatham</t>
  </si>
  <si>
    <t>Janardan Mishra</t>
  </si>
  <si>
    <t>Jitendra Kumar</t>
  </si>
  <si>
    <t>John D'Costa</t>
  </si>
  <si>
    <t>Julie S</t>
  </si>
  <si>
    <t>Jyoti Tulsani</t>
  </si>
  <si>
    <t>Kahkasha Parveen</t>
  </si>
  <si>
    <t>Kailash Nath</t>
  </si>
  <si>
    <t>Kalpana Agrawal</t>
  </si>
  <si>
    <t>Kamini Kumar</t>
  </si>
  <si>
    <t>Kamini Tiwari</t>
  </si>
  <si>
    <t>Kavita Sharma</t>
  </si>
  <si>
    <t>Kiran Khubchandani</t>
  </si>
  <si>
    <t>Kisun Sah</t>
  </si>
  <si>
    <t>Krishana Kumar</t>
  </si>
  <si>
    <t>Kunj Bihari</t>
  </si>
  <si>
    <t>Leena George</t>
  </si>
  <si>
    <t>Lilly Lucy</t>
  </si>
  <si>
    <t>Mangal Singh</t>
  </si>
  <si>
    <t>Manisha Shrivastava</t>
  </si>
  <si>
    <t>Manjusha Sinha</t>
  </si>
  <si>
    <t>ManjuTiwari Lab</t>
  </si>
  <si>
    <t>Manoj Kumar</t>
  </si>
  <si>
    <t>Masroor Adil</t>
  </si>
  <si>
    <t>Meena Zinjare</t>
  </si>
  <si>
    <t>Mehnaz Khan</t>
  </si>
  <si>
    <t>Mercy Thampi</t>
  </si>
  <si>
    <t>Miny Mole</t>
  </si>
  <si>
    <t>Mohd Rafi</t>
  </si>
  <si>
    <t>Mubeen Khan</t>
  </si>
  <si>
    <t>Mukesh Nagar</t>
  </si>
  <si>
    <t>Nandu Kumar</t>
  </si>
  <si>
    <t>Narayan Singh</t>
  </si>
  <si>
    <t>Neeraj Saxena</t>
  </si>
  <si>
    <t>Neeru Mehta</t>
  </si>
  <si>
    <t>Nikita Panwalkar</t>
  </si>
  <si>
    <t>Nitin Bhatia</t>
  </si>
  <si>
    <t>Om Prakash</t>
  </si>
  <si>
    <t>Omprakash O</t>
  </si>
  <si>
    <t>Owais Mohd</t>
  </si>
  <si>
    <t>Pankaj Shelkey</t>
  </si>
  <si>
    <t>Partha Sarathi</t>
  </si>
  <si>
    <t>Prabha Desikan</t>
  </si>
  <si>
    <t>Pramod Tiwari</t>
  </si>
  <si>
    <t>Prasannakumari S</t>
  </si>
  <si>
    <t>Praveen Kumar</t>
  </si>
  <si>
    <t>Rachel Mathew</t>
  </si>
  <si>
    <t>Rachita Anupam</t>
  </si>
  <si>
    <t>Rachna Chauhan</t>
  </si>
  <si>
    <t>Raj Kumar</t>
  </si>
  <si>
    <t>Rajeev Garg</t>
  </si>
  <si>
    <t>Rajeev Kumar</t>
  </si>
  <si>
    <t>Rajendra Gupta</t>
  </si>
  <si>
    <t>Rajendra Kumar</t>
  </si>
  <si>
    <t>Rajendra Prasad</t>
  </si>
  <si>
    <t>Rajesh Kumar</t>
  </si>
  <si>
    <t>Rajesh Sharma</t>
  </si>
  <si>
    <t>Raji Abraham</t>
  </si>
  <si>
    <t>Rajshree Dhabekar</t>
  </si>
  <si>
    <t>Rakhi Jodhani</t>
  </si>
  <si>
    <t>Ramji Prasad</t>
  </si>
  <si>
    <t>Rashid</t>
  </si>
  <si>
    <t>Rashmi Gajbe</t>
  </si>
  <si>
    <t>Ravi Kumar</t>
  </si>
  <si>
    <t>Ravinder Kaur</t>
  </si>
  <si>
    <t>Rekha Agarwal</t>
  </si>
  <si>
    <t>Rekha Gupta</t>
  </si>
  <si>
    <t xml:space="preserve">Rekha Jain </t>
  </si>
  <si>
    <t>Renu Pratap</t>
  </si>
  <si>
    <t>Ritu Bhatnagar</t>
  </si>
  <si>
    <t>Rohit Nishchal</t>
  </si>
  <si>
    <t>Roli Bhatnagar</t>
  </si>
  <si>
    <t>Roma Rastogi</t>
  </si>
  <si>
    <t>Roohi Haider</t>
  </si>
  <si>
    <t>Sajid Naqvi</t>
  </si>
  <si>
    <t>Salim</t>
  </si>
  <si>
    <t>Sanjay Hire</t>
  </si>
  <si>
    <t>Sanjiv Subherwal</t>
  </si>
  <si>
    <t>Sanju Ramdas</t>
  </si>
  <si>
    <t>Santosh Kumar</t>
  </si>
  <si>
    <t>Sapna Sharma</t>
  </si>
  <si>
    <t>Saroj Parita</t>
  </si>
  <si>
    <t>Shailaja Kamal</t>
  </si>
  <si>
    <t>Shailendra Barge</t>
  </si>
  <si>
    <t>Shankar Attendant</t>
  </si>
  <si>
    <t>Shashikant Tiwari</t>
  </si>
  <si>
    <t>Sheeba Joseph</t>
  </si>
  <si>
    <t>Sheena Joseph</t>
  </si>
  <si>
    <t>Shephali Jain</t>
  </si>
  <si>
    <t>Shivji Prasad</t>
  </si>
  <si>
    <t>Shubhanjali Joshi</t>
  </si>
  <si>
    <t>Shyamal Malakar</t>
  </si>
  <si>
    <t>Sneh Khan</t>
  </si>
  <si>
    <t>Sonaram Munda</t>
  </si>
  <si>
    <t>Sudama Kumar</t>
  </si>
  <si>
    <t>Sudhir Kumar</t>
  </si>
  <si>
    <t>Sunil Kumar</t>
  </si>
  <si>
    <t>Sunita Chawla</t>
  </si>
  <si>
    <t>Sunita Madnani</t>
  </si>
  <si>
    <t>Surendra Kumar</t>
  </si>
  <si>
    <t>Surendranath Thakur</t>
  </si>
  <si>
    <t>Sushma Khandelwal</t>
  </si>
  <si>
    <t>Swarnlata Borse</t>
  </si>
  <si>
    <t>Syed Naved</t>
  </si>
  <si>
    <t>Syed Saqib</t>
  </si>
  <si>
    <t>Syed Sohail</t>
  </si>
  <si>
    <t>System Operator</t>
  </si>
  <si>
    <t>Tahira Qureshi</t>
  </si>
  <si>
    <t>Tapas Chakraborty</t>
  </si>
  <si>
    <t>Tariq Akhlaq</t>
  </si>
  <si>
    <t>Tasneem Khan</t>
  </si>
  <si>
    <t>Emp Total Number of woking hours</t>
  </si>
  <si>
    <t>Report 1: Working Hours</t>
  </si>
  <si>
    <t>Sum of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</si>
</sst>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8" formatCode="#,##0.00%"/>
    <numFmt numFmtId="171" formatCode="[$-F400]h:mm:ss\ AM/PM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8"/>
      <name val="Tahoma"/>
      <charset val="134"/>
    </font>
    <font>
      <sz val="10"/>
      <color indexed="8"/>
      <name val="Calibri"/>
      <charset val="134"/>
    </font>
    <font>
      <sz val="10"/>
      <color indexed="8"/>
      <name val="Tahoma"/>
      <charset val="134"/>
    </font>
    <font>
      <b/>
      <sz val="10"/>
      <color indexed="8"/>
      <name val="Tahoma"/>
      <family val="2"/>
    </font>
    <font>
      <b/>
      <sz val="14"/>
      <color indexed="8"/>
      <name val="Calibri"/>
      <family val="2"/>
    </font>
    <font>
      <b/>
      <sz val="14"/>
      <color indexed="8"/>
      <name val="Tahoma"/>
      <family val="2"/>
    </font>
    <font>
      <sz val="11"/>
      <color theme="0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rgb="FFA9D08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49" fontId="4" fillId="2" borderId="1" xfId="0" applyNumberFormat="1" applyFont="1" applyFill="1" applyBorder="1" applyAlignment="1" applyProtection="1">
      <alignment horizontal="center" vertical="top"/>
    </xf>
    <xf numFmtId="0" fontId="5" fillId="0" borderId="0" xfId="0" applyNumberFormat="1" applyFont="1" applyFill="1" applyBorder="1" applyAlignment="1" applyProtection="1"/>
    <xf numFmtId="49" fontId="6" fillId="0" borderId="2" xfId="0" applyNumberFormat="1" applyFont="1" applyFill="1" applyBorder="1" applyAlignment="1" applyProtection="1">
      <alignment horizontal="right" vertical="top" wrapText="1"/>
    </xf>
    <xf numFmtId="49" fontId="4" fillId="2" borderId="1" xfId="0" applyNumberFormat="1" applyFont="1" applyFill="1" applyBorder="1" applyAlignment="1" applyProtection="1">
      <alignment horizontal="center" vertical="top" wrapText="1"/>
    </xf>
    <xf numFmtId="3" fontId="6" fillId="0" borderId="2" xfId="0" applyNumberFormat="1" applyFont="1" applyFill="1" applyBorder="1" applyAlignment="1" applyProtection="1">
      <alignment horizontal="right" vertical="top" wrapText="1"/>
    </xf>
    <xf numFmtId="168" fontId="6" fillId="0" borderId="2" xfId="0" applyNumberFormat="1" applyFont="1" applyFill="1" applyBorder="1" applyAlignment="1" applyProtection="1">
      <alignment horizontal="right" vertical="top" wrapText="1"/>
    </xf>
    <xf numFmtId="49" fontId="8" fillId="3" borderId="3" xfId="0" applyNumberFormat="1" applyFont="1" applyFill="1" applyBorder="1" applyAlignment="1" applyProtection="1">
      <alignment horizontal="center" vertical="center"/>
    </xf>
    <xf numFmtId="0" fontId="8" fillId="3" borderId="3" xfId="0" applyNumberFormat="1" applyFont="1" applyFill="1" applyBorder="1" applyAlignment="1" applyProtection="1">
      <alignment horizontal="center" vertical="center"/>
    </xf>
    <xf numFmtId="0" fontId="8" fillId="3" borderId="3" xfId="0" applyNumberFormat="1" applyFont="1" applyFill="1" applyBorder="1" applyAlignment="1" applyProtection="1">
      <alignment horizontal="center" vertical="center" wrapText="1"/>
    </xf>
    <xf numFmtId="49" fontId="9" fillId="3" borderId="1" xfId="0" applyNumberFormat="1" applyFont="1" applyFill="1" applyBorder="1" applyAlignment="1" applyProtection="1">
      <alignment horizontal="center" vertical="center" wrapText="1"/>
    </xf>
    <xf numFmtId="49" fontId="7" fillId="2" borderId="1" xfId="0" applyNumberFormat="1" applyFont="1" applyFill="1" applyBorder="1" applyAlignment="1" applyProtection="1">
      <alignment horizontal="center" vertical="top"/>
    </xf>
    <xf numFmtId="171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10" fillId="5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19" fontId="0" fillId="0" borderId="0" xfId="0" applyNumberFormat="1"/>
    <xf numFmtId="0" fontId="3" fillId="0" borderId="0" xfId="0" applyFont="1"/>
    <xf numFmtId="10" fontId="0" fillId="0" borderId="0" xfId="0" applyNumberFormat="1"/>
    <xf numFmtId="0" fontId="2" fillId="0" borderId="0" xfId="0" applyFont="1"/>
  </cellXfs>
  <cellStyles count="2">
    <cellStyle name="Normal" xfId="0" builtinId="0"/>
    <cellStyle name="Percent" xfId="1" builtinId="5"/>
  </cellStyles>
  <dxfs count="6"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[Book1.xlsm]Dashboard!PivotTable2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5.3639846743295021E-2"/>
          <c:y val="9.6296296296296297E-2"/>
          <c:w val="0.91570881226053635"/>
          <c:h val="0.665308836395450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4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  <c:pt idx="3">
                  <c:v>Sunil Kumar</c:v>
                </c:pt>
              </c:strCache>
            </c:strRef>
          </c:cat>
          <c:val>
            <c:numRef>
              <c:f>Dashboard!$B$5:$B$8</c:f>
              <c:numCache>
                <c:formatCode>[$-F400]h:mm:ss\ AM/PM</c:formatCode>
                <c:ptCount val="4"/>
                <c:pt idx="0">
                  <c:v>1.3668402777777777</c:v>
                </c:pt>
                <c:pt idx="1">
                  <c:v>0.67937500000000006</c:v>
                </c:pt>
                <c:pt idx="2">
                  <c:v>1.0142939814814815</c:v>
                </c:pt>
                <c:pt idx="3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A-402D-8CEB-21FCA28B4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8614575"/>
        <c:axId val="2055326351"/>
      </c:barChart>
      <c:catAx>
        <c:axId val="181861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326351"/>
        <c:crosses val="autoZero"/>
        <c:auto val="1"/>
        <c:lblAlgn val="ctr"/>
        <c:lblOffset val="100"/>
        <c:noMultiLvlLbl val="0"/>
      </c:catAx>
      <c:valAx>
        <c:axId val="2055326351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818614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[Book1.xlsm]Dashboard!PivotTable3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Dashboard!$D$5:$D$8</c:f>
              <c:strCache>
                <c:ptCount val="4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</c:strCache>
            </c:strRef>
          </c:cat>
          <c:val>
            <c:numRef>
              <c:f>Dashboard!$E$5:$E$8</c:f>
              <c:numCache>
                <c:formatCode>0.00%</c:formatCode>
                <c:ptCount val="4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0-4D50-B9D0-C8E9134A8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C$1" max="30000" min="1" page="10" val="4"/>
</file>

<file path=xl/ctrlProps/ctrlProp2.xml><?xml version="1.0" encoding="utf-8"?>
<formControlPr xmlns="http://schemas.microsoft.com/office/spreadsheetml/2009/9/main" objectType="Spin" dx="22" fmlaLink="$C$1" max="30000" min="1" page="10" val="4"/>
</file>

<file path=xl/ctrlProps/ctrlProp3.xml><?xml version="1.0" encoding="utf-8"?>
<formControlPr xmlns="http://schemas.microsoft.com/office/spreadsheetml/2009/9/main" objectType="Spin" dx="22" fmlaLink="$C$2" max="30000" min="1" page="10" val="4"/>
</file>

<file path=xl/ctrlProps/ctrlProp4.xml><?xml version="1.0" encoding="utf-8"?>
<formControlPr xmlns="http://schemas.microsoft.com/office/spreadsheetml/2009/9/main" objectType="Spin" dx="22" fmlaLink="$C$2" max="30000" min="1" page="10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561976</xdr:colOff>
      <xdr:row>0</xdr:row>
      <xdr:rowOff>0</xdr:rowOff>
    </xdr:from>
    <xdr:to>
      <xdr:col>1</xdr:col>
      <xdr:colOff>1114426</xdr:colOff>
      <xdr:row>1</xdr:row>
      <xdr:rowOff>152400</xdr:rowOff>
    </xdr:to>
    <xdr:sp macro="" textlink="$C$1">
      <xdr:nvSpPr>
        <xdr:cNvPr id="7" name="Rectangle 6"/>
        <xdr:cNvSpPr/>
      </xdr:nvSpPr>
      <xdr:spPr>
        <a:xfrm>
          <a:off x="1676401" y="0"/>
          <a:ext cx="552450" cy="3429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fld id="{8530EE8F-2BF1-435B-9177-3BD092D8318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</a:t>
          </a:fld>
          <a:endParaRPr 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0</xdr:row>
          <xdr:rowOff>19050</xdr:rowOff>
        </xdr:from>
        <xdr:to>
          <xdr:col>1</xdr:col>
          <xdr:colOff>828675</xdr:colOff>
          <xdr:row>1</xdr:row>
          <xdr:rowOff>142876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9</xdr:row>
      <xdr:rowOff>9525</xdr:rowOff>
    </xdr:from>
    <xdr:to>
      <xdr:col>2</xdr:col>
      <xdr:colOff>19050</xdr:colOff>
      <xdr:row>18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19049</xdr:colOff>
      <xdr:row>0</xdr:row>
      <xdr:rowOff>28576</xdr:rowOff>
    </xdr:from>
    <xdr:to>
      <xdr:col>0</xdr:col>
      <xdr:colOff>952500</xdr:colOff>
      <xdr:row>1</xdr:row>
      <xdr:rowOff>133350</xdr:rowOff>
    </xdr:to>
    <xdr:sp macro="" textlink="">
      <xdr:nvSpPr>
        <xdr:cNvPr id="3" name="Right Arrow 2"/>
        <xdr:cNvSpPr/>
      </xdr:nvSpPr>
      <xdr:spPr>
        <a:xfrm>
          <a:off x="19049" y="28576"/>
          <a:ext cx="933451" cy="295274"/>
        </a:xfrm>
        <a:prstGeom prst="rightArrow">
          <a:avLst>
            <a:gd name="adj1" fmla="val 100000"/>
            <a:gd name="adj2" fmla="val 56757"/>
          </a:avLst>
        </a:prstGeom>
        <a:solidFill>
          <a:schemeClr val="bg2">
            <a:lumMod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CHART</a:t>
          </a:r>
        </a:p>
      </xdr:txBody>
    </xdr:sp>
    <xdr:clientData/>
  </xdr:twoCellAnchor>
  <xdr:twoCellAnchor editAs="oneCell">
    <xdr:from>
      <xdr:col>1</xdr:col>
      <xdr:colOff>0</xdr:colOff>
      <xdr:row>0</xdr:row>
      <xdr:rowOff>57150</xdr:rowOff>
    </xdr:from>
    <xdr:to>
      <xdr:col>1</xdr:col>
      <xdr:colOff>386080</xdr:colOff>
      <xdr:row>1</xdr:row>
      <xdr:rowOff>172085</xdr:rowOff>
    </xdr:to>
    <xdr:pic macro="[0]!Hide_Chart1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" y="57150"/>
          <a:ext cx="386080" cy="30543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1</xdr:col>
      <xdr:colOff>1152525</xdr:colOff>
      <xdr:row>0</xdr:row>
      <xdr:rowOff>38101</xdr:rowOff>
    </xdr:from>
    <xdr:to>
      <xdr:col>1</xdr:col>
      <xdr:colOff>2181224</xdr:colOff>
      <xdr:row>1</xdr:row>
      <xdr:rowOff>142875</xdr:rowOff>
    </xdr:to>
    <xdr:sp macro="" textlink="">
      <xdr:nvSpPr>
        <xdr:cNvPr id="10" name="Right Arrow 9"/>
        <xdr:cNvSpPr/>
      </xdr:nvSpPr>
      <xdr:spPr>
        <a:xfrm flipH="1">
          <a:off x="2266950" y="38101"/>
          <a:ext cx="1028699" cy="295274"/>
        </a:xfrm>
        <a:prstGeom prst="rightArrow">
          <a:avLst>
            <a:gd name="adj1" fmla="val 100000"/>
            <a:gd name="adj2" fmla="val 56757"/>
          </a:avLst>
        </a:prstGeom>
        <a:solidFill>
          <a:schemeClr val="bg2">
            <a:lumMod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RECORDS		</a:t>
          </a:r>
        </a:p>
      </xdr:txBody>
    </xdr:sp>
    <xdr:clientData/>
  </xdr:twoCellAnchor>
  <xdr:twoCellAnchor editAs="oneCell">
    <xdr:from>
      <xdr:col>1</xdr:col>
      <xdr:colOff>2508</xdr:colOff>
      <xdr:row>0</xdr:row>
      <xdr:rowOff>57151</xdr:rowOff>
    </xdr:from>
    <xdr:to>
      <xdr:col>1</xdr:col>
      <xdr:colOff>386556</xdr:colOff>
      <xdr:row>1</xdr:row>
      <xdr:rowOff>175697</xdr:rowOff>
    </xdr:to>
    <xdr:pic macro="[0]!Show_Chart1">
      <xdr:nvPicPr>
        <xdr:cNvPr id="8" name="Picture 7" hidden="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6933" y="57151"/>
          <a:ext cx="384048" cy="3090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1762125</xdr:colOff>
          <xdr:row>9</xdr:row>
          <xdr:rowOff>76200</xdr:rowOff>
        </xdr:from>
        <xdr:to>
          <xdr:col>1</xdr:col>
          <xdr:colOff>2019300</xdr:colOff>
          <xdr:row>11</xdr:row>
          <xdr:rowOff>9525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561976</xdr:colOff>
      <xdr:row>0</xdr:row>
      <xdr:rowOff>0</xdr:rowOff>
    </xdr:from>
    <xdr:to>
      <xdr:col>4</xdr:col>
      <xdr:colOff>1114426</xdr:colOff>
      <xdr:row>1</xdr:row>
      <xdr:rowOff>152400</xdr:rowOff>
    </xdr:to>
    <xdr:sp macro="" textlink="$C$2">
      <xdr:nvSpPr>
        <xdr:cNvPr id="13" name="Rectangle 12"/>
        <xdr:cNvSpPr/>
      </xdr:nvSpPr>
      <xdr:spPr>
        <a:xfrm>
          <a:off x="1676401" y="0"/>
          <a:ext cx="552450" cy="3429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fld id="{AB5CC776-D03C-47CE-A5A1-5F3205DDC645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t>4</a:t>
          </a:fld>
          <a:endParaRPr lang="en-US" sz="1600" b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0</xdr:row>
          <xdr:rowOff>19050</xdr:rowOff>
        </xdr:from>
        <xdr:to>
          <xdr:col>4</xdr:col>
          <xdr:colOff>828675</xdr:colOff>
          <xdr:row>1</xdr:row>
          <xdr:rowOff>142876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19049</xdr:colOff>
      <xdr:row>0</xdr:row>
      <xdr:rowOff>28576</xdr:rowOff>
    </xdr:from>
    <xdr:to>
      <xdr:col>3</xdr:col>
      <xdr:colOff>952500</xdr:colOff>
      <xdr:row>1</xdr:row>
      <xdr:rowOff>133350</xdr:rowOff>
    </xdr:to>
    <xdr:sp macro="" textlink="">
      <xdr:nvSpPr>
        <xdr:cNvPr id="15" name="Right Arrow 14"/>
        <xdr:cNvSpPr/>
      </xdr:nvSpPr>
      <xdr:spPr>
        <a:xfrm>
          <a:off x="19049" y="28576"/>
          <a:ext cx="933451" cy="295274"/>
        </a:xfrm>
        <a:prstGeom prst="rightArrow">
          <a:avLst>
            <a:gd name="adj1" fmla="val 100000"/>
            <a:gd name="adj2" fmla="val 56757"/>
          </a:avLst>
        </a:prstGeom>
        <a:solidFill>
          <a:schemeClr val="bg2">
            <a:lumMod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CHART</a:t>
          </a:r>
        </a:p>
      </xdr:txBody>
    </xdr:sp>
    <xdr:clientData/>
  </xdr:twoCellAnchor>
  <xdr:oneCellAnchor>
    <xdr:from>
      <xdr:col>4</xdr:col>
      <xdr:colOff>0</xdr:colOff>
      <xdr:row>0</xdr:row>
      <xdr:rowOff>57150</xdr:rowOff>
    </xdr:from>
    <xdr:ext cx="386080" cy="305435"/>
    <xdr:pic macro="[0]!Hide_Chart10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" y="57150"/>
          <a:ext cx="386080" cy="30543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4</xdr:col>
      <xdr:colOff>1152525</xdr:colOff>
      <xdr:row>0</xdr:row>
      <xdr:rowOff>38101</xdr:rowOff>
    </xdr:from>
    <xdr:to>
      <xdr:col>4</xdr:col>
      <xdr:colOff>2181224</xdr:colOff>
      <xdr:row>1</xdr:row>
      <xdr:rowOff>142875</xdr:rowOff>
    </xdr:to>
    <xdr:sp macro="" textlink="">
      <xdr:nvSpPr>
        <xdr:cNvPr id="17" name="Right Arrow 16"/>
        <xdr:cNvSpPr/>
      </xdr:nvSpPr>
      <xdr:spPr>
        <a:xfrm flipH="1">
          <a:off x="2266950" y="38101"/>
          <a:ext cx="1028699" cy="295274"/>
        </a:xfrm>
        <a:prstGeom prst="rightArrow">
          <a:avLst>
            <a:gd name="adj1" fmla="val 100000"/>
            <a:gd name="adj2" fmla="val 56757"/>
          </a:avLst>
        </a:prstGeom>
        <a:solidFill>
          <a:schemeClr val="bg2">
            <a:lumMod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RECORDS		</a:t>
          </a:r>
        </a:p>
      </xdr:txBody>
    </xdr:sp>
    <xdr:clientData/>
  </xdr:twoCellAnchor>
  <xdr:twoCellAnchor editAs="oneCell">
    <xdr:from>
      <xdr:col>4</xdr:col>
      <xdr:colOff>0</xdr:colOff>
      <xdr:row>0</xdr:row>
      <xdr:rowOff>57150</xdr:rowOff>
    </xdr:from>
    <xdr:to>
      <xdr:col>4</xdr:col>
      <xdr:colOff>384048</xdr:colOff>
      <xdr:row>1</xdr:row>
      <xdr:rowOff>175696</xdr:rowOff>
    </xdr:to>
    <xdr:pic macro="[0]!Show_Chart10">
      <xdr:nvPicPr>
        <xdr:cNvPr id="19" name="Picture 18" hidden="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57150"/>
          <a:ext cx="384048" cy="309046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9</xdr:row>
      <xdr:rowOff>28574</xdr:rowOff>
    </xdr:from>
    <xdr:to>
      <xdr:col>5</xdr:col>
      <xdr:colOff>19051</xdr:colOff>
      <xdr:row>17</xdr:row>
      <xdr:rowOff>9525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1866900</xdr:colOff>
          <xdr:row>9</xdr:row>
          <xdr:rowOff>76200</xdr:rowOff>
        </xdr:from>
        <xdr:to>
          <xdr:col>4</xdr:col>
          <xdr:colOff>2085975</xdr:colOff>
          <xdr:row>11</xdr:row>
          <xdr:rowOff>9526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novo" refreshedDate="46067.689559259263" createdVersion="6" refreshedVersion="6" minRefreshableVersion="3" recordCount="149">
  <cacheSource type="worksheet">
    <worksheetSource ref="A1:G150" sheet="Summary"/>
  </cacheSource>
  <cacheFields count="9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71">
      <sharedItems containsSemiMixedTypes="0" containsNonDate="0" containsDate="1" containsString="0" minDate="1899-12-30T04:56:13" maxDate="1899-12-30T09:16:31" count="142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7:53:01"/>
        <d v="1899-12-30T08:16:43"/>
        <d v="1899-12-30T08:21:16"/>
        <d v="1899-12-30T08:17:52"/>
        <d v="1899-12-30T08:13:41"/>
        <d v="1899-12-30T08:17:34"/>
        <d v="1899-12-30T07:41:44"/>
        <d v="1899-12-30T08:10:04"/>
        <d v="1899-12-30T08:14:20"/>
        <d v="1899-12-30T07:35:57"/>
        <d v="1899-12-30T08:13:53"/>
        <d v="1899-12-30T08:15:11"/>
        <d v="1899-12-30T07:27:24"/>
        <d v="1899-12-30T07:59:57"/>
        <d v="1899-12-30T08:17:44"/>
        <d v="1899-12-30T08:19:10"/>
        <d v="1899-12-30T08:16:23"/>
        <d v="1899-12-30T07:39:42"/>
        <d v="1899-12-30T08:11:27"/>
        <d v="1899-12-30T08:09:47"/>
        <d v="1899-12-30T08:15:46"/>
        <d v="1899-12-30T08:15:19"/>
        <d v="1899-12-30T08:17:24"/>
        <d v="1899-12-30T08:16:01"/>
        <d v="1899-12-30T08:00:08"/>
        <d v="1899-12-30T05:01:37"/>
        <d v="1899-12-30T08:26:46"/>
        <d v="1899-12-30T07:53:25"/>
        <d v="1899-12-30T08:01:28"/>
        <d v="1899-12-30T08:21:34"/>
        <d v="1899-12-30T08:15:28"/>
        <d v="1899-12-30T07:59:19"/>
        <d v="1899-12-30T04:56:13"/>
        <d v="1899-12-30T07:45:23"/>
        <d v="1899-12-30T08:00:13"/>
        <d v="1899-12-30T08:09:49"/>
        <d v="1899-12-30T08:14:05"/>
        <d v="1899-12-30T07:41:28"/>
        <d v="1899-12-30T08:00:44"/>
        <d v="1899-12-30T07:55:23"/>
        <d v="1899-12-30T08:05:29"/>
        <d v="1899-12-30T08:14:51"/>
        <d v="1899-12-30T05:15:35"/>
        <d v="1899-12-30T08:12:10"/>
        <d v="1899-12-30T08:00:32"/>
        <d v="1899-12-30T07:55:35"/>
        <d v="1899-12-30T05:01:07"/>
        <d v="1899-12-30T08:21:39"/>
        <d v="1899-12-30T08:19:29"/>
        <d v="1899-12-30T08:21:13"/>
        <d v="1899-12-30T08:02:20"/>
        <d v="1899-12-30T08:16:46"/>
        <d v="1899-12-30T08:00:37"/>
        <d v="1899-12-30T07:55:44"/>
        <d v="1899-12-30T08:09:43"/>
        <d v="1899-12-30T08:01:11"/>
        <d v="1899-12-30T08:15:54"/>
        <d v="1899-12-30T08:32:22"/>
        <d v="1899-12-30T08:21:49"/>
        <d v="1899-12-30T08:25:20"/>
        <d v="1899-12-30T08:08:02"/>
        <d v="1899-12-30T08:19:20"/>
        <d v="1899-12-30T08:25:36"/>
        <d v="1899-12-30T08:16:26"/>
        <d v="1899-12-30T07:36:07"/>
        <d v="1899-12-30T08:09:57"/>
        <d v="1899-12-30T08:04:00"/>
        <d v="1899-12-30T07:59:43"/>
        <d v="1899-12-30T08:25:57"/>
        <d v="1899-12-30T08:14:44"/>
        <d v="1899-12-30T08:22:34"/>
        <d v="1899-12-30T08:00:39"/>
        <d v="1899-12-30T08:17:39"/>
        <d v="1899-12-30T05:04:31"/>
        <d v="1899-12-30T08:10:41"/>
        <d v="1899-12-30T08:15:13"/>
        <d v="1899-12-30T08:02:52"/>
        <d v="1899-12-30T08:19:26"/>
        <d v="1899-12-30T08:02:10"/>
        <d v="1899-12-30T08:20:42"/>
        <d v="1899-12-30T08:01:53"/>
        <d v="1899-12-30T05:53:52"/>
        <d v="1899-12-30T08:16:02"/>
        <d v="1899-12-30T08:15:42"/>
        <d v="1899-12-30T08:16:30"/>
        <d v="1899-12-30T08:01:48"/>
        <d v="1899-12-30T08:17:09"/>
        <d v="1899-12-30T08:31:02"/>
        <d v="1899-12-30T08:00:11"/>
        <d v="1899-12-30T08:15:48"/>
        <d v="1899-12-30T08:15:56"/>
        <d v="1899-12-30T08:15:52"/>
        <d v="1899-12-30T08:02:17"/>
        <d v="1899-12-30T08:15:58"/>
        <d v="1899-12-30T08:17:04"/>
        <d v="1899-12-30T08:02:59"/>
        <d v="1899-12-30T08:04:14"/>
        <d v="1899-12-30T08:01:59"/>
        <d v="1899-12-30T08:09:14"/>
        <d v="1899-12-30T08:17:38"/>
        <d v="1899-12-30T07:57:56"/>
        <d v="1899-12-30T08:14:55"/>
        <d v="1899-12-30T08:30:57"/>
        <d v="1899-12-30T08:49:34"/>
        <d v="1899-12-30T08:25:43"/>
        <d v="1899-12-30T08:11:40"/>
        <d v="1899-12-30T08:17:17"/>
        <d v="1899-12-30T08:09:15"/>
        <d v="1899-12-30T08:00:41"/>
        <d v="1899-12-30T08:00:18"/>
        <d v="1899-12-30T08:03:26"/>
        <d v="1899-12-30T08:05:06"/>
        <d v="1899-12-30T08:05:25"/>
        <d v="1899-12-30T08:14:02"/>
        <d v="1899-12-30T07:29:10"/>
        <d v="1899-12-30T08:33:53"/>
        <d v="1899-12-30T08:15:15"/>
        <d v="1899-12-30T08:19:05"/>
        <d v="1899-12-30T08:13:39"/>
        <d v="1899-12-30T08:24:48"/>
        <d v="1899-12-30T08:17:53"/>
        <d v="1899-12-30T08:30:54"/>
        <d v="1899-12-30T08:46:13"/>
        <d v="1899-12-30T08:14:56"/>
        <d v="1899-12-30T04:59:55"/>
        <d v="1899-12-30T08:33:55"/>
      </sharedItems>
      <fieldGroup par="8" base="2">
        <rangePr groupBy="seconds" startDate="1899-12-30T04:56:13" endDate="1899-12-30T09:16:31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Work Efficiency " numFmtId="171">
      <sharedItems containsDate="1" containsMixedTypes="1" minDate="1899-12-30T00:48:33" maxDate="1899-12-30T05:52:08"/>
    </cacheField>
    <cacheField name="Total Break Taken" numFmtId="171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  <cacheField name="Minutes" numFmtId="0" databaseField="0">
      <fieldGroup base="2">
        <rangePr groupBy="minutes" startDate="1899-12-30T04:56:13" endDate="1899-12-30T09:16:31"/>
        <groupItems count="62">
          <s v="&lt;1/0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0/1900"/>
        </groupItems>
      </fieldGroup>
    </cacheField>
    <cacheField name="Hours" numFmtId="0" databaseField="0">
      <fieldGroup base="2">
        <rangePr groupBy="hours" startDate="1899-12-30T04:56:13" endDate="1899-12-30T09:16:31"/>
        <groupItems count="26">
          <s v="&lt;1/0/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">
  <r>
    <s v="Mum_Abdul Hamid (1008512)"/>
    <x v="0"/>
    <x v="0"/>
    <d v="1899-12-30T04:57:59"/>
    <d v="1899-12-30T01:08:42"/>
    <n v="98"/>
    <n v="0.55697138822580095"/>
  </r>
  <r>
    <s v="Mum_Afzal Husain (1008513)"/>
    <x v="1"/>
    <x v="1"/>
    <d v="1899-12-30T04:58:34"/>
    <d v="1899-12-30T01:09:59"/>
    <n v="23"/>
    <n v="0.58027306967984904"/>
  </r>
  <r>
    <s v="Mum_Anamika Gupta (1008514)"/>
    <x v="2"/>
    <x v="2"/>
    <d v="1899-12-30T04:49:35"/>
    <d v="1899-12-30T01:13:54"/>
    <n v="28"/>
    <n v="0.51708756749505302"/>
  </r>
  <r>
    <s v="Mum_Anikuttan (1008515)"/>
    <x v="3"/>
    <x v="3"/>
    <d v="1899-12-30T04:17:32"/>
    <d v="1899-12-30T02:19:02"/>
    <n v="29"/>
    <n v="0.47720778337188702"/>
  </r>
  <r>
    <s v="Mum_Anil Kumar (1008516)"/>
    <x v="4"/>
    <x v="4"/>
    <d v="1899-12-30T03:19:44"/>
    <d v="1899-12-30T03:04:58"/>
    <n v="93"/>
    <n v="0.43288831738587802"/>
  </r>
  <r>
    <s v="Mum_Anita Dixit (1008517)"/>
    <x v="5"/>
    <x v="5"/>
    <d v="1899-12-30T03:41:19"/>
    <d v="1899-12-30T00:27:07"/>
    <n v="92"/>
    <n v="0.65495030262646503"/>
  </r>
  <r>
    <s v="Mum_Anita Ghore (1008518)"/>
    <x v="6"/>
    <x v="6"/>
    <d v="1899-12-30T04:12:46"/>
    <d v="1899-12-30T02:41:42"/>
    <n v="26"/>
    <n v="0.49476474931203401"/>
  </r>
  <r>
    <s v="Mum_Anjali Deoram (1008519)"/>
    <x v="7"/>
    <x v="7"/>
    <d v="1899-12-30T05:52:08"/>
    <d v="1899-12-30T01:13:10"/>
    <n v="90"/>
    <n v="0.55128627474469205"/>
  </r>
  <r>
    <s v="Mum_Anjali Sahay (1008520)"/>
    <x v="8"/>
    <x v="8"/>
    <d v="1899-12-30T04:52:29"/>
    <d v="1899-12-30T01:06:39"/>
    <n v="89"/>
    <n v="0.55206432867085597"/>
  </r>
  <r>
    <s v="Mum_Annu Latika (1008521)"/>
    <x v="9"/>
    <x v="9"/>
    <d v="1899-12-30T04:58:07"/>
    <d v="1899-12-30T01:09:57"/>
    <n v="54"/>
    <n v="0.56868945774108703"/>
  </r>
  <r>
    <s v="Mum_Anoop Narayan (1008522)"/>
    <x v="10"/>
    <x v="10"/>
    <d v="1899-12-30T04:55:28"/>
    <d v="1899-12-30T01:09:15"/>
    <n v="87"/>
    <n v="0.56035332087650802"/>
  </r>
  <r>
    <s v="Mum_Anoop Raj (1008523)"/>
    <x v="11"/>
    <x v="11"/>
    <d v="1899-12-30T03:47:42"/>
    <d v="1899-12-30T03:01:18"/>
    <n v="65"/>
    <n v="0.41552495697073999"/>
  </r>
  <r>
    <s v="Mum_Anubhuti Gupta (1008524)"/>
    <x v="12"/>
    <x v="12"/>
    <d v="1899-12-30T04:43:40"/>
    <d v="1899-12-30T02:06:41"/>
    <n v="85"/>
    <n v="0.50026955994339195"/>
  </r>
  <r>
    <s v="Mum_Arun Kumar (1008525)"/>
    <x v="13"/>
    <x v="13"/>
    <d v="1899-12-30T04:40:27"/>
    <d v="1899-12-30T01:10:34"/>
    <n v="65"/>
    <n v="0.51396318166029897"/>
  </r>
  <r>
    <s v="Mum_Ashish Kumar (1008526)"/>
    <x v="14"/>
    <x v="14"/>
    <d v="1899-12-30T04:57:35"/>
    <d v="1899-12-30T01:16:59"/>
    <n v="83"/>
    <n v="0.510580502364264"/>
  </r>
  <r>
    <s v="Mum_Ashok Kumar (1008527)"/>
    <x v="15"/>
    <x v="15"/>
    <d v="1899-12-30T04:10:25"/>
    <d v="1899-12-30T02:24:20"/>
    <n v="82"/>
    <n v="0.48292274174627098"/>
  </r>
  <r>
    <s v="Hyd_Ashok Kumar (1008528)"/>
    <x v="15"/>
    <x v="16"/>
    <d v="1899-12-30T04:44:12"/>
    <d v="1899-12-30T00:56:29"/>
    <n v="81"/>
    <n v="0.57362319861879396"/>
  </r>
  <r>
    <s v="Hyd_Ashok Kumar (1008529)"/>
    <x v="15"/>
    <x v="17"/>
    <d v="1899-12-30T04:58:07"/>
    <d v="1899-12-30T01:10:07"/>
    <n v="80"/>
    <n v="0.56430560681810604"/>
  </r>
  <r>
    <s v="Hyd_Ashok Kumar (1008530)"/>
    <x v="15"/>
    <x v="18"/>
    <d v="1899-12-30T04:23:03"/>
    <d v="1899-12-30T02:40:10"/>
    <n v="79"/>
    <n v="0.46974331693044302"/>
  </r>
  <r>
    <s v="Hyd_Ashok Mahto (1008531)"/>
    <x v="16"/>
    <x v="19"/>
    <d v="1899-12-30T04:58:14"/>
    <d v="1899-12-30T01:14:30"/>
    <n v="78"/>
    <n v="0.57495313336904097"/>
  </r>
  <r>
    <s v="Hyd_Atul Kumar (1008532)"/>
    <x v="17"/>
    <x v="20"/>
    <d v="1899-12-30T04:53:40"/>
    <d v="1899-12-30T01:06:59"/>
    <n v="77"/>
    <n v="0.57945376590932096"/>
  </r>
  <r>
    <s v="Hyd_Azam (1008533)"/>
    <x v="18"/>
    <x v="21"/>
    <d v="1899-12-30T04:59:50"/>
    <d v="1899-12-30T01:09:47"/>
    <n v="76"/>
    <n v="0.588296375695049"/>
  </r>
  <r>
    <s v="Hyd_Bhagwat Singh (1008534)"/>
    <x v="19"/>
    <x v="22"/>
    <d v="1899-12-30T04:08:57"/>
    <d v="1899-12-30T02:10:18"/>
    <n v="75"/>
    <n v="0.46267686976609901"/>
  </r>
  <r>
    <s v="Hyd_Bindu Nair (1008535)"/>
    <x v="20"/>
    <x v="23"/>
    <d v="1899-12-30T04:14:05"/>
    <d v="1899-12-30T02:11:17"/>
    <n v="74"/>
    <n v="0.478030199972793"/>
  </r>
  <r>
    <s v="Hyd_Daleep Singh (1008536)"/>
    <x v="21"/>
    <x v="24"/>
    <d v="1899-12-30T05:26:56"/>
    <d v="1899-12-30T01:12:54"/>
    <n v="73"/>
    <n v="0.59983142279163904"/>
  </r>
  <r>
    <s v="Hyd_Deepak Kumar (1008537)"/>
    <x v="22"/>
    <x v="25"/>
    <d v="1899-12-30T05:05:16"/>
    <d v="1899-12-30T00:30:30"/>
    <n v="72"/>
    <n v="0.65029060203969702"/>
  </r>
  <r>
    <s v="Hyd_Deepika Nigam (1008538)"/>
    <x v="23"/>
    <x v="14"/>
    <d v="1899-12-30T04:56:45"/>
    <d v="1899-12-30T01:11:40"/>
    <n v="71"/>
    <n v="0.55001844461584903"/>
  </r>
  <r>
    <s v="Hyd_Dinesh Kumar (1008539)"/>
    <x v="24"/>
    <x v="26"/>
    <d v="1899-12-30T05:06:20"/>
    <d v="1899-12-30T01:10:03"/>
    <n v="70"/>
    <n v="0.51334660682347399"/>
  </r>
  <r>
    <s v="Hyd_Hari Kumar (1008540)"/>
    <x v="25"/>
    <x v="27"/>
    <d v="1899-12-30T04:11:43"/>
    <d v="1899-12-30T02:44:52"/>
    <n v="69"/>
    <n v="0.43603379219817601"/>
  </r>
  <r>
    <s v="Hyd_Heeramani Choudhary (1008541)"/>
    <x v="26"/>
    <x v="28"/>
    <d v="1899-12-30T04:35:28"/>
    <d v="1899-12-30T01:20:20"/>
    <n v="68"/>
    <n v="0.52954105200417201"/>
  </r>
  <r>
    <s v="Hyd_Indra Pal (1008542)"/>
    <x v="27"/>
    <x v="29"/>
    <d v="1899-12-30T05:14:16"/>
    <d v="1899-12-30T01:09:15"/>
    <n v="67"/>
    <n v="0.56446852102649603"/>
  </r>
  <r>
    <s v="Hyd_Indra Singh (1008543)"/>
    <x v="28"/>
    <x v="30"/>
    <d v="1899-12-30T05:05:03"/>
    <d v="1899-12-30T02:09:14"/>
    <n v="66"/>
    <n v="0.49789043664612898"/>
  </r>
  <r>
    <s v="Hyd_Jagdish Chandra (1008544)"/>
    <x v="29"/>
    <x v="31"/>
    <d v="1899-12-30T04:59:15"/>
    <d v="1899-12-30T01:09:03"/>
    <n v="65"/>
    <n v="0.56270450751252099"/>
  </r>
  <r>
    <s v="Hyd_Jairaj Vatham (1008545)"/>
    <x v="30"/>
    <x v="32"/>
    <d v="1899-12-30T05:02:08"/>
    <d v="1899-12-30T01:09:56"/>
    <n v="64"/>
    <n v="0.57680556021891705"/>
  </r>
  <r>
    <s v="Hyd_Janardan Mishra (1008546)"/>
    <x v="31"/>
    <x v="33"/>
    <d v="1899-12-30T04:32:56"/>
    <d v="1899-12-30T01:28:09"/>
    <n v="63"/>
    <n v="0.55728373576970502"/>
  </r>
  <r>
    <s v="Hyd_Jitendra Kumar (1008547)"/>
    <x v="32"/>
    <x v="34"/>
    <d v="1899-12-30T04:07:41"/>
    <d v="1899-12-30T02:35:12"/>
    <n v="62"/>
    <n v="0.47590463594126198"/>
  </r>
  <r>
    <s v="Hyd_John D'Costa (1008548)"/>
    <x v="33"/>
    <x v="35"/>
    <d v="1899-12-30T04:51:30"/>
    <d v="1899-12-30T01:09:36"/>
    <n v="61"/>
    <n v="0.55636846224520997"/>
  </r>
  <r>
    <s v="Hyd_Julie S (1008549)"/>
    <x v="34"/>
    <x v="36"/>
    <d v="1899-12-30T04:56:12"/>
    <d v="1899-12-30T01:10:44"/>
    <n v="60"/>
    <n v="0.527970147246689"/>
  </r>
  <r>
    <s v="Hyd_Jyoti Tulsani (1008550)"/>
    <x v="35"/>
    <x v="37"/>
    <d v="1899-12-30T04:56:56"/>
    <d v="1899-12-30T01:10:27"/>
    <n v="59"/>
    <n v="0.565025741108382"/>
  </r>
  <r>
    <s v="Hyd_Kahkasha Parveen (1008551)"/>
    <x v="36"/>
    <x v="38"/>
    <d v="1899-12-30T05:25:18"/>
    <d v="1899-12-30T01:10:12"/>
    <n v="58"/>
    <n v="0.48579278917035301"/>
  </r>
  <r>
    <s v="Hyd_Kailash Nath (1008552)"/>
    <x v="37"/>
    <x v="39"/>
    <d v="1899-12-30T04:58:27"/>
    <d v="1899-12-30T01:07:40"/>
    <n v="57"/>
    <n v="0.572258996673499"/>
  </r>
  <r>
    <s v="Hyd_Kalpana Agrawal (1008553)"/>
    <x v="38"/>
    <x v="40"/>
    <d v="1899-12-30T03:54:19"/>
    <d v="1899-12-30T02:24:54"/>
    <n v="56"/>
    <n v="0.46542627048042201"/>
  </r>
  <r>
    <s v="Hyd_Kamini Kumar (1008554)"/>
    <x v="39"/>
    <x v="41"/>
    <d v="1899-12-30T03:21:30"/>
    <d v="1899-12-30T00:15:00"/>
    <n v="55"/>
    <n v="0.64380836602751801"/>
  </r>
  <r>
    <s v="Hyd_Kamini Tiwari (1008555)"/>
    <x v="40"/>
    <x v="42"/>
    <d v="1899-12-30T05:18:49"/>
    <d v="1899-12-30T01:09:45"/>
    <n v="54"/>
    <n v="0.57347234098533195"/>
  </r>
  <r>
    <s v="Hyd_Kavita Sharma (1008556)"/>
    <x v="41"/>
    <x v="43"/>
    <d v="1899-12-30T05:26:19"/>
    <d v="1899-12-30T00:56:19"/>
    <n v="53"/>
    <n v="0.64717479317021698"/>
  </r>
  <r>
    <s v="Hyd_Kiran Khubchandani (1008557)"/>
    <x v="42"/>
    <x v="44"/>
    <d v="1899-12-30T04:13:15"/>
    <d v="1899-12-30T02:10:24"/>
    <n v="52"/>
    <n v="0.50443090556632497"/>
  </r>
  <r>
    <s v="Hyd_Kisun Sah (1008558)"/>
    <x v="43"/>
    <x v="45"/>
    <d v="1899-12-30T05:08:41"/>
    <d v="1899-12-30T01:09:28"/>
    <n v="51"/>
    <n v="0.55280122283511701"/>
  </r>
  <r>
    <s v="Hyd_Krishana Kumar (1008559)"/>
    <x v="44"/>
    <x v="46"/>
    <d v="1899-12-30T04:45:06"/>
    <d v="1899-12-30T01:09:45"/>
    <n v="50"/>
    <n v="0.55493137782561897"/>
  </r>
  <r>
    <s v="Hyd_Kunj Bihari (1008560)"/>
    <x v="45"/>
    <x v="47"/>
    <d v="1899-12-30T04:42:13"/>
    <d v="1899-12-30T01:10:11"/>
    <n v="49"/>
    <n v="0.55217497131332804"/>
  </r>
  <r>
    <s v="Hyd_Leena George (1008561)"/>
    <x v="46"/>
    <x v="48"/>
    <d v="1899-12-30T03:10:50"/>
    <d v="1899-12-30T00:18:10"/>
    <n v="48"/>
    <n v="0.58819557756147001"/>
  </r>
  <r>
    <s v="Hyd_Lilly Lucy (1008562)"/>
    <x v="47"/>
    <x v="49"/>
    <d v="1899-12-30T04:39:06"/>
    <d v="1899-12-30T01:14:44"/>
    <n v="47"/>
    <n v="0.55534863732407003"/>
  </r>
  <r>
    <s v="Hyd_Mangal Singh (1008563)"/>
    <x v="48"/>
    <x v="50"/>
    <d v="1899-12-30T04:46:25"/>
    <d v="1899-12-30T01:10:04"/>
    <n v="46"/>
    <n v="0.55815083469267301"/>
  </r>
  <r>
    <s v="Hyd_Manisha Shrivastava (1008564)"/>
    <x v="49"/>
    <x v="51"/>
    <d v="1899-12-30T04:51:12"/>
    <d v="1899-12-30T01:10:09"/>
    <n v="45"/>
    <n v="0.53002824185919895"/>
  </r>
  <r>
    <s v="Hyd_Manjusha Sinha (1008565)"/>
    <x v="50"/>
    <x v="52"/>
    <d v="1899-12-30T05:04:01"/>
    <d v="1899-12-30T01:10:39"/>
    <n v="44"/>
    <n v="0.54639905548996504"/>
  </r>
  <r>
    <s v="Hyd_ManjuTiwari Lab (1008566)"/>
    <x v="51"/>
    <x v="53"/>
    <d v="1899-12-30T04:26:11"/>
    <d v="1899-12-30T01:10:46"/>
    <n v="43"/>
    <n v="0.52849609939323905"/>
  </r>
  <r>
    <s v="Hyd_Manoj Kumar (1008567)"/>
    <x v="52"/>
    <x v="54"/>
    <d v="1899-12-30T04:28:58"/>
    <d v="1899-12-30T01:09:53"/>
    <n v="42"/>
    <n v="0.53279711551795905"/>
  </r>
  <r>
    <s v="Hyd_Manoj Kumar (1008568)"/>
    <x v="52"/>
    <x v="55"/>
    <d v="1899-12-30T04:29:51"/>
    <d v="1899-12-30T01:15:59"/>
    <n v="41"/>
    <n v="0.53150089401535605"/>
  </r>
  <r>
    <s v="Hyd_Masroor Adil (1008569)"/>
    <x v="53"/>
    <x v="23"/>
    <d v="1899-12-30T05:04:35"/>
    <d v="1899-12-30T01:11:39"/>
    <n v="40"/>
    <n v="0.58954564004897303"/>
  </r>
  <r>
    <s v="Hyd_Meena Zinjare (1008570)"/>
    <x v="54"/>
    <x v="56"/>
    <d v="1899-12-30T03:09:32"/>
    <d v="1899-12-30T03:34:45"/>
    <n v="39"/>
    <n v="0.34903360911806097"/>
  </r>
  <r>
    <s v="Hyd_Mehnaz Khan (1008571)"/>
    <x v="55"/>
    <x v="57"/>
    <d v="1899-12-30T04:08:21"/>
    <d v="1899-12-30T02:12:24"/>
    <n v="38"/>
    <n v="0.47933717288067101"/>
  </r>
  <r>
    <s v="Hyd_Mercy Thampi (1008572)"/>
    <x v="56"/>
    <x v="58"/>
    <d v="1899-12-30T03:38:44"/>
    <d v="1899-12-30T00:15:35"/>
    <n v="37"/>
    <n v="0.62762080802746201"/>
  </r>
  <r>
    <s v="Hyd_Miny Mole (1008573)"/>
    <x v="57"/>
    <x v="59"/>
    <d v="1899-12-30T04:14:06"/>
    <d v="1899-12-30T02:13:07"/>
    <n v="36"/>
    <n v="0.47561801557737898"/>
  </r>
  <r>
    <s v="Hyd_Mohd Rafi (1008574)"/>
    <x v="58"/>
    <x v="60"/>
    <d v="1899-12-30T03:55:15"/>
    <d v="1899-12-30T02:38:29"/>
    <n v="35"/>
    <n v="0.43635543840177599"/>
  </r>
  <r>
    <s v="Hyd_Mubeen Khan (1008575)"/>
    <x v="59"/>
    <x v="61"/>
    <d v="1899-12-30T03:50:43"/>
    <d v="1899-12-30T02:24:38"/>
    <n v="34"/>
    <n v="0.451270369721395"/>
  </r>
  <r>
    <s v="Hyd_Mukesh Nagar (1008576)"/>
    <x v="60"/>
    <x v="62"/>
    <d v="1899-12-30T03:13:40"/>
    <d v="1899-12-30T00:29:34"/>
    <n v="33"/>
    <n v="0.61244257486024201"/>
  </r>
  <r>
    <s v="Hyd_Nandu Kumar (1008577)"/>
    <x v="61"/>
    <x v="63"/>
    <d v="1899-12-30T04:43:39"/>
    <d v="1899-12-30T01:14:03"/>
    <n v="32"/>
    <n v="0.51755872288115901"/>
  </r>
  <r>
    <s v="Hyd_Narayan Singh (1008578)"/>
    <x v="62"/>
    <x v="64"/>
    <d v="1899-12-30T04:54:19"/>
    <d v="1899-12-30T01:08:27"/>
    <n v="31"/>
    <n v="0.55550735760285597"/>
  </r>
  <r>
    <s v="Hyd_Neeraj Saxena (1008579)"/>
    <x v="63"/>
    <x v="65"/>
    <d v="1899-12-30T04:36:09"/>
    <d v="1899-12-30T02:15:18"/>
    <n v="30"/>
    <n v="0.45535862734013899"/>
  </r>
  <r>
    <s v="Hyd_Neeru Mehta (1008580)"/>
    <x v="64"/>
    <x v="66"/>
    <d v="1899-12-30T04:44:15"/>
    <d v="1899-12-30T01:10:03"/>
    <n v="29"/>
    <n v="0.53445058742225304"/>
  </r>
  <r>
    <s v="Hyd_Nikita Panwalkar (1008581)"/>
    <x v="65"/>
    <x v="67"/>
    <d v="1899-12-30T04:58:45"/>
    <d v="1899-12-30T01:37:25"/>
    <n v="28"/>
    <n v="0.55914916459773201"/>
  </r>
  <r>
    <s v="Hyd_Nitin Bhatia (1008582)"/>
    <x v="66"/>
    <x v="68"/>
    <d v="1899-12-30T04:44:56"/>
    <d v="1899-12-30T01:09:53"/>
    <n v="29"/>
    <n v="0.56847106148351101"/>
  </r>
  <r>
    <s v="Hyd_Om Prakash (1008583)"/>
    <x v="67"/>
    <x v="69"/>
    <d v="1899-12-30T04:26:21"/>
    <d v="1899-12-30T01:36:03"/>
    <n v="30"/>
    <n v="0.47509108744394601"/>
  </r>
  <r>
    <s v="Hyd_Omprakash O (1008584)"/>
    <x v="68"/>
    <x v="70"/>
    <d v="1899-12-30T04:02:05"/>
    <d v="1899-12-30T02:11:54"/>
    <n v="31"/>
    <n v="0.47578531804104401"/>
  </r>
  <r>
    <s v="Hyd_Owais Mohd (1008585)"/>
    <x v="69"/>
    <x v="71"/>
    <d v="1899-12-30T04:02:50"/>
    <d v="1899-12-30T02:26:26"/>
    <n v="32"/>
    <n v="0.46898271622042897"/>
  </r>
  <r>
    <s v="Hyd_Pankaj Shelkey (1008586)"/>
    <x v="70"/>
    <x v="72"/>
    <d v="1899-12-30T04:26:54"/>
    <d v="1899-12-30T01:55:26"/>
    <n v="33"/>
    <n v="0.51361161524500898"/>
  </r>
  <r>
    <s v="Hyd_Partha Sarathi (1008587)"/>
    <x v="71"/>
    <x v="73"/>
    <d v="1899-12-30T05:11:39"/>
    <d v="1899-12-30T01:38:42"/>
    <n v="34"/>
    <n v="0.525112224318522"/>
  </r>
  <r>
    <s v="Hyd_Prabha Desikan (1008588)"/>
    <x v="72"/>
    <x v="74"/>
    <d v="1899-12-30T03:03:51"/>
    <d v="1899-12-30T04:11:26"/>
    <n v="35"/>
    <n v="0.348600086352918"/>
  </r>
  <r>
    <s v="Hyd_Pramod Tiwari (1008589)"/>
    <x v="73"/>
    <x v="75"/>
    <d v="1899-12-30T02:54:03"/>
    <d v="1899-12-30T04:21:06"/>
    <n v="36"/>
    <n v="0.314709762532982"/>
  </r>
  <r>
    <s v="Hyd_Prasannakumari S (1008590)"/>
    <x v="74"/>
    <x v="76"/>
    <d v="1899-12-30T05:10:46"/>
    <d v="1899-12-30T01:10:25"/>
    <n v="37"/>
    <n v="0.55600710333993597"/>
  </r>
  <r>
    <s v="Hyd_Praveen Kumar (1008591)"/>
    <x v="75"/>
    <x v="77"/>
    <d v="1899-12-30T04:08:46"/>
    <d v="1899-12-30T02:37:28"/>
    <n v="38"/>
    <n v="0.46221628838451301"/>
  </r>
  <r>
    <s v="Hyd_Rachel Mathew (1008592)"/>
    <x v="76"/>
    <x v="78"/>
    <d v="1899-12-30T03:40:53"/>
    <d v="1899-12-30T03:20:01"/>
    <n v="39"/>
    <n v="0.39075685654008402"/>
  </r>
  <r>
    <s v="Hyd_Rachita Anupam (1008593)"/>
    <x v="77"/>
    <x v="79"/>
    <d v="1899-12-30T05:16:03"/>
    <d v="1899-12-30T01:08:32"/>
    <n v="40"/>
    <n v="0.54713623850130899"/>
  </r>
  <r>
    <s v="Hyd_Rachna Chauhan (1008594)"/>
    <x v="78"/>
    <x v="80"/>
    <d v="1899-12-30T05:07:23"/>
    <d v="1899-12-30T00:30:20"/>
    <n v="41"/>
    <n v="0.61457229509993805"/>
  </r>
  <r>
    <s v="Hyd_Raj Kumar (1008595)"/>
    <x v="79"/>
    <x v="81"/>
    <d v="1899-12-30T05:03:51"/>
    <d v="1899-12-30T01:08:44"/>
    <n v="42"/>
    <n v="0.55335578460387103"/>
  </r>
  <r>
    <s v="Hyd_Rajeev Garg (1008596)"/>
    <x v="80"/>
    <x v="82"/>
    <d v="1899-12-30T05:05:29"/>
    <d v="1899-12-30T01:08:24"/>
    <n v="43"/>
    <n v="0.611363636363636"/>
  </r>
  <r>
    <s v="Hyd_Rajeev Kumar (1008597)"/>
    <x v="81"/>
    <x v="83"/>
    <d v="1899-12-30T04:28:51"/>
    <d v="1899-12-30T01:37:06"/>
    <n v="44"/>
    <n v="0.51217732689434703"/>
  </r>
  <r>
    <s v="Hyd_Rajendra Gupta (1008598)"/>
    <x v="82"/>
    <x v="84"/>
    <d v="1899-12-30T04:58:12"/>
    <d v="1899-12-30T01:19:08"/>
    <n v="45"/>
    <n v="0.56029910728991705"/>
  </r>
  <r>
    <s v="Hyd_Rajendra Kumar (1008599)"/>
    <x v="83"/>
    <x v="85"/>
    <d v="1899-12-30T03:55:22"/>
    <d v="1899-12-30T02:34:16"/>
    <n v="46"/>
    <n v="0.42891793558819602"/>
  </r>
  <r>
    <s v="Hyd_Rajendra Prasad (1008600)"/>
    <x v="84"/>
    <x v="86"/>
    <d v="1899-12-30T00:48:33"/>
    <d v="1899-12-30T07:08:19"/>
    <n v="47"/>
    <n v="9.4547987000066294E-2"/>
  </r>
  <r>
    <s v="Hyd_Rajesh Kumar (1008601)"/>
    <x v="85"/>
    <x v="87"/>
    <d v="1899-12-30T05:11:50"/>
    <d v="1899-12-30T01:12:04"/>
    <n v="48"/>
    <n v="0.61021533340268397"/>
  </r>
  <r>
    <s v="Hyd_Rajesh Kumar (1008602)"/>
    <x v="85"/>
    <x v="88"/>
    <d v="1899-12-30T04:49:40"/>
    <d v="1899-12-30T02:06:35"/>
    <n v="49"/>
    <n v="0.51260926353863201"/>
  </r>
  <r>
    <s v="Hyd_Rajesh Sharma (1008603)"/>
    <x v="86"/>
    <x v="89"/>
    <d v="1899-12-30T03:24:21"/>
    <d v="1899-12-30T00:24:27"/>
    <n v="50"/>
    <n v="0.62426796562859199"/>
  </r>
  <r>
    <s v="Hyd_Raji Abraham (1008604)"/>
    <x v="87"/>
    <x v="90"/>
    <d v="1899-12-30T04:44:35"/>
    <d v="1899-12-30T01:09:28"/>
    <n v="51"/>
    <n v="0.54373153085832704"/>
  </r>
  <r>
    <s v="Hyd_Rajshree Dhabekar (1008605)"/>
    <x v="88"/>
    <x v="91"/>
    <e v="#VALUE!"/>
    <d v="1899-12-30T08:15:09"/>
    <n v="52"/>
    <n v="0"/>
  </r>
  <r>
    <s v="Hyd_Rakhi Jodhani (1008606)"/>
    <x v="89"/>
    <x v="92"/>
    <d v="1899-12-30T01:13:06"/>
    <d v="1899-12-30T06:39:44"/>
    <n v="53"/>
    <n v="0.14431174927516199"/>
  </r>
  <r>
    <s v="Hyd_Ramji Prasad (1008607)"/>
    <x v="90"/>
    <x v="93"/>
    <d v="1899-12-30T04:53:04"/>
    <d v="1899-12-30T01:13:46"/>
    <n v="54"/>
    <n v="0.55259293866381898"/>
  </r>
  <r>
    <s v="Del_Rashid (1008608)"/>
    <x v="91"/>
    <x v="94"/>
    <d v="1899-12-30T01:36:08"/>
    <d v="1899-12-30T05:45:13"/>
    <n v="55"/>
    <n v="0.18938817836156199"/>
  </r>
  <r>
    <s v="Del_Rashmi Gajbe (1008609)"/>
    <x v="92"/>
    <x v="95"/>
    <d v="1899-12-30T04:16:57"/>
    <d v="1899-12-30T02:04:58"/>
    <n v="56"/>
    <n v="0.47077424938419499"/>
  </r>
  <r>
    <s v="Del_Ravi Kumar (1008610)"/>
    <x v="93"/>
    <x v="54"/>
    <d v="1899-12-30T04:47:03"/>
    <d v="1899-12-30T01:11:14"/>
    <n v="57"/>
    <n v="0.53862155040909698"/>
  </r>
  <r>
    <s v="Del_Ravinder Kaur (1008611)"/>
    <x v="94"/>
    <x v="96"/>
    <d v="1899-12-30T04:38:57"/>
    <d v="1899-12-30T01:09:28"/>
    <n v="58"/>
    <n v="0.53294365856189296"/>
  </r>
  <r>
    <s v="Del_Rekha Agarwal (1008612)"/>
    <x v="95"/>
    <x v="97"/>
    <d v="1899-12-30T02:53:07"/>
    <d v="1899-12-30T02:41:42"/>
    <n v="59"/>
    <n v="0.41310286360211002"/>
  </r>
  <r>
    <s v="Del_Rekha Gupta (1008613)"/>
    <x v="96"/>
    <x v="98"/>
    <d v="1899-12-30T04:22:52"/>
    <d v="1899-12-30T01:50:37"/>
    <n v="60"/>
    <n v="0.50483838451717"/>
  </r>
  <r>
    <s v="Del_Rekha Jain  (1008614)"/>
    <x v="97"/>
    <x v="99"/>
    <d v="1899-12-30T04:25:29"/>
    <d v="1899-12-30T01:36:57"/>
    <n v="61"/>
    <n v="0.52390558805729304"/>
  </r>
  <r>
    <s v="Del_Renu Pratap (1008615)"/>
    <x v="98"/>
    <x v="100"/>
    <d v="1899-12-30T02:30:29"/>
    <d v="1899-12-30T05:07:55"/>
    <n v="62"/>
    <n v="0.25444780127559602"/>
  </r>
  <r>
    <s v="Del_Ritu Bhatnagar (1008616)"/>
    <x v="99"/>
    <x v="101"/>
    <d v="1899-12-30T04:52:13"/>
    <d v="1899-12-30T01:13:20"/>
    <n v="63"/>
    <n v="0.55517503805174995"/>
  </r>
  <r>
    <s v="Del_Rohit Nishchal (1008617)"/>
    <x v="100"/>
    <x v="102"/>
    <e v="#VALUE!"/>
    <d v="1899-12-30T08:17:00"/>
    <n v="64"/>
    <n v="0"/>
  </r>
  <r>
    <s v="Del_Roli Bhatnagar (1008618)"/>
    <x v="101"/>
    <x v="0"/>
    <d v="1899-12-30T04:08:30"/>
    <d v="1899-12-30T02:10:16"/>
    <n v="65"/>
    <n v="0.477120667047709"/>
  </r>
  <r>
    <s v="Del_Roma Rastogi (1008619)"/>
    <x v="102"/>
    <x v="103"/>
    <d v="1899-12-30T05:35:38"/>
    <d v="1899-12-30T00:53:47"/>
    <n v="66"/>
    <n v="0.61917030852521004"/>
  </r>
  <r>
    <s v="Del_Roohi Haider (1008620)"/>
    <x v="103"/>
    <x v="104"/>
    <d v="1899-12-30T04:52:11"/>
    <d v="1899-12-30T01:09:24"/>
    <n v="67"/>
    <n v="0.55305265350039901"/>
  </r>
  <r>
    <s v="Del_Sajid Naqvi (1008621)"/>
    <x v="104"/>
    <x v="105"/>
    <d v="1899-12-30T05:00:37"/>
    <d v="1899-12-30T01:08:40"/>
    <n v="68"/>
    <n v="0.56195374478956595"/>
  </r>
  <r>
    <s v="Del_Salim (1008622)"/>
    <x v="105"/>
    <x v="106"/>
    <d v="1899-12-30T04:37:42"/>
    <d v="1899-12-30T01:59:29"/>
    <n v="69"/>
    <n v="0.48780077967468699"/>
  </r>
  <r>
    <s v="Del_Sanjay Hire (1008623)"/>
    <x v="106"/>
    <x v="107"/>
    <d v="1899-12-30T05:00:14"/>
    <d v="1899-12-30T01:09:43"/>
    <n v="70"/>
    <n v="0.55414762032804499"/>
  </r>
  <r>
    <s v="Del_Sanjiv Subherwal (1008624)"/>
    <x v="107"/>
    <x v="108"/>
    <d v="1899-12-30T05:06:07"/>
    <d v="1899-12-30T01:10:15"/>
    <n v="71"/>
    <n v="0.58651553374572396"/>
  </r>
  <r>
    <s v="Del_Sanju Ramdas (1008625)"/>
    <x v="108"/>
    <x v="109"/>
    <d v="1899-12-30T05:19:44"/>
    <d v="1899-12-30T01:13:56"/>
    <n v="72"/>
    <n v="0.58165871362322696"/>
  </r>
  <r>
    <s v="Del_Santosh Kumar (1008626)"/>
    <x v="109"/>
    <x v="60"/>
    <d v="1899-12-30T05:03:10"/>
    <d v="1899-12-30T01:09:48"/>
    <n v="73"/>
    <n v="0.59073251942286398"/>
  </r>
  <r>
    <s v="Del_Santosh Kumar (1008627)"/>
    <x v="109"/>
    <x v="110"/>
    <d v="1899-12-30T05:09:57"/>
    <d v="1899-12-30T01:10:58"/>
    <n v="74"/>
    <n v="0.58640692060085797"/>
  </r>
  <r>
    <s v="Del_Santosh Kumar (1008628)"/>
    <x v="109"/>
    <x v="111"/>
    <d v="1899-12-30T04:44:19"/>
    <d v="1899-12-30T01:12:01"/>
    <n v="75"/>
    <n v="0.54653369681493502"/>
  </r>
  <r>
    <s v="Del_Sapna Sharma (1008629)"/>
    <x v="110"/>
    <x v="112"/>
    <d v="1899-12-30T04:33:29"/>
    <d v="1899-12-30T01:32:37"/>
    <n v="76"/>
    <n v="0.53238796723342696"/>
  </r>
  <r>
    <s v="Del_Saroj Parita (1008630)"/>
    <x v="111"/>
    <x v="113"/>
    <d v="1899-12-30T04:31:42"/>
    <d v="1899-12-30T01:45:37"/>
    <n v="77"/>
    <n v="0.47020989660776702"/>
  </r>
  <r>
    <s v="Del_Shailaja Kamal (1008631)"/>
    <x v="112"/>
    <x v="114"/>
    <d v="1899-12-30T04:51:46"/>
    <d v="1899-12-30T01:08:46"/>
    <n v="78"/>
    <n v="0.54633099407235797"/>
  </r>
  <r>
    <s v="Del_Shailendra Barge (1008632)"/>
    <x v="113"/>
    <x v="115"/>
    <d v="1899-12-30T03:26:09"/>
    <d v="1899-12-30T03:43:06"/>
    <n v="79"/>
    <n v="0.38820416638756799"/>
  </r>
  <r>
    <s v="Del_Shankar Attendant (1008633)"/>
    <x v="114"/>
    <x v="116"/>
    <d v="1899-12-30T03:27:15"/>
    <d v="1899-12-30T03:15:05"/>
    <n v="80"/>
    <n v="0.40277584042404802"/>
  </r>
  <r>
    <s v="Del_Shashikant Tiwari (1008634)"/>
    <x v="115"/>
    <x v="117"/>
    <d v="1899-12-30T05:19:10"/>
    <d v="1899-12-30T01:09:59"/>
    <n v="81"/>
    <n v="0.54352584610203702"/>
  </r>
  <r>
    <s v="Del_Sheeba Joseph (1008635)"/>
    <x v="116"/>
    <x v="118"/>
    <d v="1899-12-30T03:41:07"/>
    <d v="1899-12-30T00:55:39"/>
    <n v="82"/>
    <n v="0.28371986821932998"/>
  </r>
  <r>
    <s v="Del_Sheena Joseph (1008636)"/>
    <x v="117"/>
    <x v="119"/>
    <d v="1899-12-30T05:10:26"/>
    <d v="1899-12-30T01:41:30"/>
    <n v="83"/>
    <n v="0.56196890539434796"/>
  </r>
  <r>
    <s v="Del_Shephali Jain (1008637)"/>
    <x v="118"/>
    <x v="120"/>
    <d v="1899-12-30T03:41:29"/>
    <d v="1899-12-30T03:23:49"/>
    <n v="84"/>
    <n v="0.40332201825791802"/>
  </r>
  <r>
    <s v="Del_Shivji Prasad (1008638)"/>
    <x v="119"/>
    <x v="121"/>
    <d v="1899-12-30T04:12:39"/>
    <d v="1899-12-30T02:17:48"/>
    <n v="85"/>
    <n v="0.43796610169491501"/>
  </r>
  <r>
    <s v="Del_Shubhanjali Joshi (1008639)"/>
    <x v="120"/>
    <x v="122"/>
    <d v="1899-12-30T04:54:52"/>
    <d v="1899-12-30T01:19:32"/>
    <n v="86"/>
    <n v="0.55581995508931903"/>
  </r>
  <r>
    <s v="Del_Shyamal Malakar (1008640)"/>
    <x v="121"/>
    <x v="1"/>
    <d v="1899-12-30T02:53:35"/>
    <d v="1899-12-30T04:35:37"/>
    <n v="87"/>
    <n v="0.326035781544256"/>
  </r>
  <r>
    <s v="Del_Sneh Khan (1008641)"/>
    <x v="122"/>
    <x v="123"/>
    <d v="1899-12-30T05:06:25"/>
    <d v="1899-12-30T01:09:51"/>
    <n v="88"/>
    <n v="0.57404190086867701"/>
  </r>
  <r>
    <s v="Del_Sonaram Munda (1008642)"/>
    <x v="123"/>
    <x v="124"/>
    <d v="1899-12-30T04:11:10"/>
    <d v="1899-12-30T01:57:15"/>
    <n v="89"/>
    <n v="0.45359037481363301"/>
  </r>
  <r>
    <s v="Del_Sudama Kumar (1008643)"/>
    <x v="124"/>
    <x v="35"/>
    <d v="1899-12-30T02:38:49"/>
    <d v="1899-12-30T04:36:20"/>
    <n v="90"/>
    <n v="0.29689998979140397"/>
  </r>
  <r>
    <s v="Del_Sudhir Kumar (1008644)"/>
    <x v="125"/>
    <x v="125"/>
    <d v="1899-12-30T04:35:36"/>
    <d v="1899-12-30T01:14:24"/>
    <n v="91"/>
    <n v="0.55729058227496697"/>
  </r>
  <r>
    <s v="Del_Sunil Kumar (1008645)"/>
    <x v="126"/>
    <x v="126"/>
    <d v="1899-12-30T02:58:37"/>
    <d v="1899-12-30T03:56:57"/>
    <n v="92"/>
    <n v="0.33279321519685601"/>
  </r>
  <r>
    <s v="Del_Sunil Kumar (1008646)"/>
    <x v="126"/>
    <x v="127"/>
    <d v="1899-12-30T04:05:03"/>
    <d v="1899-12-30T02:16:51"/>
    <n v="93"/>
    <n v="0.472308115165258"/>
  </r>
  <r>
    <s v="Del_Sunita Chawla (1008647)"/>
    <x v="127"/>
    <x v="128"/>
    <d v="1899-12-30T04:31:57"/>
    <d v="1899-12-30T02:06:43"/>
    <n v="94"/>
    <n v="0.51110729613733896"/>
  </r>
  <r>
    <s v="Del_Sunita Madnani (1008648)"/>
    <x v="128"/>
    <x v="129"/>
    <d v="1899-12-30T05:19:12"/>
    <d v="1899-12-30T01:08:15"/>
    <n v="95"/>
    <n v="0.58886040078267299"/>
  </r>
  <r>
    <s v="Del_Surendra Kumar (1008649)"/>
    <x v="129"/>
    <x v="130"/>
    <d v="1899-12-30T02:54:25"/>
    <d v="1899-12-30T03:46:52"/>
    <n v="96"/>
    <n v="0.34289424860853401"/>
  </r>
  <r>
    <s v="Del_Surendranath Thakur (1008650)"/>
    <x v="130"/>
    <x v="131"/>
    <d v="1899-12-30T04:36:50"/>
    <d v="1899-12-30T02:17:05"/>
    <n v="97"/>
    <n v="0.497486459313074"/>
  </r>
  <r>
    <s v="Del_Sushma Khandelwal (1008651)"/>
    <x v="131"/>
    <x v="132"/>
    <d v="1899-12-30T04:50:07"/>
    <d v="1899-12-30T01:10:21"/>
    <n v="98"/>
    <n v="0.52431431936732298"/>
  </r>
  <r>
    <s v="Del_Swarnlata Borse (1008652)"/>
    <x v="132"/>
    <x v="133"/>
    <d v="1899-12-30T02:59:39"/>
    <d v="1899-12-30T04:32:37"/>
    <n v="99"/>
    <n v="0.31066956086157999"/>
  </r>
  <r>
    <s v="Del_Syed Naved (1008653)"/>
    <x v="133"/>
    <x v="134"/>
    <d v="1899-12-30T05:24:05"/>
    <d v="1899-12-30T01:14:44"/>
    <n v="100"/>
    <n v="0.58462473412336702"/>
  </r>
  <r>
    <s v="Del_Syed Saqib (1008654)"/>
    <x v="134"/>
    <x v="135"/>
    <d v="1899-12-30T02:52:08"/>
    <d v="1899-12-30T05:03:34"/>
    <n v="101"/>
    <n v="0.31685816164817698"/>
  </r>
  <r>
    <s v="Del_Syed Sohail (1008655)"/>
    <x v="135"/>
    <x v="136"/>
    <d v="1899-12-30T04:51:52"/>
    <d v="1899-12-30T01:12:04"/>
    <n v="102"/>
    <n v="0.56375322197301903"/>
  </r>
  <r>
    <s v="Del_System Operator (1008656)"/>
    <x v="136"/>
    <x v="137"/>
    <d v="1899-12-30T05:15:36"/>
    <d v="1899-12-30T00:56:05"/>
    <n v="103"/>
    <n v="0.54779147908918902"/>
  </r>
  <r>
    <s v="Del_Tahira Qureshi (1008657)"/>
    <x v="137"/>
    <x v="138"/>
    <d v="1899-12-30T03:36:51"/>
    <d v="1899-12-30T04:02:30"/>
    <n v="104"/>
    <n v="0.37965983593576802"/>
  </r>
  <r>
    <s v="Del_Tapas Chakraborty (1008658)"/>
    <x v="138"/>
    <x v="139"/>
    <d v="1899-12-30T05:15:14"/>
    <d v="1899-12-30T01:12:11"/>
    <n v="105"/>
    <n v="0.56529498922413801"/>
  </r>
  <r>
    <s v="Del_Tariq Akhlaq (1008659)"/>
    <x v="139"/>
    <x v="140"/>
    <d v="1899-12-30T03:08:41"/>
    <d v="1899-12-30T00:15:03"/>
    <n v="106"/>
    <n v="0.60261183662128404"/>
  </r>
  <r>
    <s v="Del_Tasneem Khan (1008660)"/>
    <x v="140"/>
    <x v="141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6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>
  <location ref="D4:E8" firstHeaderRow="1" firstDataRow="1" firstDataCol="1"/>
  <pivotFields count="9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71" showAll="0"/>
    <pivotField showAll="0"/>
    <pivotField numFmtId="171" showAll="0"/>
    <pivotField showAll="0"/>
    <pivotField dataField="1" numFmtId="9" showAll="0"/>
    <pivotField showAll="0" defaultSubtotal="0"/>
    <pivotField showAll="0" defaultSubtotal="0"/>
  </pivotFields>
  <rowFields count="1">
    <field x="1"/>
  </rowFields>
  <rowItems count="4">
    <i>
      <x v="15"/>
    </i>
    <i>
      <x v="52"/>
    </i>
    <i>
      <x v="85"/>
    </i>
    <i>
      <x v="109"/>
    </i>
  </rowItems>
  <colItems count="1">
    <i/>
  </colItems>
  <dataFields count="1">
    <dataField name="Sum of Active With Cust." fld="6" baseField="1" baseItem="0" numFmtId="1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4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6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5">
  <location ref="A4:B8" firstHeaderRow="1" firstDataRow="1" firstDataCol="1"/>
  <pivotFields count="9">
    <pivotField showAll="0"/>
    <pivotField axis="axisRow" showAll="0" measureFilter="1" sortType="ascending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71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numFmtId="171" showAll="0"/>
    <pivotField showAll="0"/>
    <pivotField numFmtId="9" showAll="0"/>
    <pivotField showAll="0" defaultSubtotal="0">
      <items count="6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</items>
    </pivotField>
    <pivotField showAll="0" defaultSubtotal="0">
      <items count="2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</items>
    </pivotField>
  </pivotFields>
  <rowFields count="1">
    <field x="1"/>
  </rowFields>
  <rowItems count="4">
    <i>
      <x v="15"/>
    </i>
    <i>
      <x v="85"/>
    </i>
    <i>
      <x v="109"/>
    </i>
    <i>
      <x v="126"/>
    </i>
  </rowItems>
  <colItems count="1">
    <i/>
  </colItems>
  <dataFields count="1">
    <dataField name="Emp Total Number of woking hours" fld="2" baseField="1" baseItem="15" numFmtId="17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5" showRowHeaders="1" showColHeaders="1" showRowStripes="0" showColStripes="0" showLastColumn="1"/>
  <filters count="1">
    <filter fld="1" type="count" evalOrder="-1" id="52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1:G150" totalsRowShown="0">
  <autoFilter ref="A1:G150"/>
  <tableColumns count="7">
    <tableColumn id="1" name="Employee"/>
    <tableColumn id="2" name="Emp Name"/>
    <tableColumn id="3" name="Total Number of woking hours" dataDxfId="5"/>
    <tableColumn id="4" name="Work Efficiency " dataDxfId="4"/>
    <tableColumn id="5" name="Total Break Taken" dataDxfId="3"/>
    <tableColumn id="6" name="Attended Calls"/>
    <tableColumn id="7" name="Active With Cust.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G150" totalsRowShown="0">
  <autoFilter ref="A1:G150"/>
  <tableColumns count="7">
    <tableColumn id="1" name="Employee"/>
    <tableColumn id="2" name="Emp Name"/>
    <tableColumn id="3" name="Total Number of woking hours" dataDxfId="2"/>
    <tableColumn id="4" name="Work Efficiency " dataDxfId="1"/>
    <tableColumn id="5" name="Total Break Taken" dataDxfId="0"/>
    <tableColumn id="6" name="Attended Calls"/>
    <tableColumn id="7" name="Active With Cust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0"/>
  <sheetViews>
    <sheetView zoomScale="142" zoomScaleNormal="142" workbookViewId="0">
      <selection sqref="A1:A1048576"/>
    </sheetView>
  </sheetViews>
  <sheetFormatPr defaultRowHeight="15"/>
  <cols>
    <col min="1" max="1" width="26.85546875" customWidth="1"/>
    <col min="3" max="3" width="15.85546875" customWidth="1"/>
    <col min="4" max="4" width="10.7109375" customWidth="1"/>
    <col min="7" max="7" width="17.7109375" customWidth="1"/>
    <col min="8" max="8" width="12.42578125" customWidth="1"/>
    <col min="9" max="9" width="19.42578125" customWidth="1"/>
  </cols>
  <sheetData>
    <row r="1" spans="1:9">
      <c r="A1" s="1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50"/>
  <sheetViews>
    <sheetView topLeftCell="B1" zoomScale="110" zoomScaleNormal="110" workbookViewId="0">
      <selection activeCell="C1" sqref="C1"/>
    </sheetView>
  </sheetViews>
  <sheetFormatPr defaultRowHeight="15"/>
  <cols>
    <col min="1" max="1" width="30.140625" customWidth="1"/>
    <col min="2" max="2" width="9.140625" customWidth="1"/>
    <col min="3" max="3" width="12.7109375" customWidth="1"/>
    <col min="4" max="4" width="15" customWidth="1"/>
    <col min="5" max="5" width="13.85546875" customWidth="1"/>
    <col min="6" max="6" width="14.140625" customWidth="1"/>
  </cols>
  <sheetData>
    <row r="1" spans="1:17" ht="38.25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>
      <c r="A2" s="2" t="s">
        <v>9</v>
      </c>
      <c r="B2" s="3" t="s">
        <v>612</v>
      </c>
      <c r="C2" s="3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>
      <c r="A3" s="2" t="s">
        <v>14</v>
      </c>
      <c r="B3" s="3" t="s">
        <v>614</v>
      </c>
      <c r="C3" s="3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>
      <c r="A4" s="2" t="s">
        <v>18</v>
      </c>
      <c r="B4" s="3" t="s">
        <v>616</v>
      </c>
      <c r="C4" s="3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>
      <c r="A5" s="2" t="s">
        <v>23</v>
      </c>
      <c r="B5" s="3" t="s">
        <v>618</v>
      </c>
      <c r="C5" s="3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>
      <c r="A6" s="2" t="s">
        <v>28</v>
      </c>
      <c r="B6" s="3" t="s">
        <v>620</v>
      </c>
      <c r="C6" s="3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>
      <c r="A7" s="2" t="s">
        <v>33</v>
      </c>
      <c r="B7" s="3" t="s">
        <v>622</v>
      </c>
      <c r="C7" s="3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>
      <c r="A8" s="2" t="s">
        <v>37</v>
      </c>
      <c r="B8" s="3" t="s">
        <v>624</v>
      </c>
      <c r="C8" s="3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>
      <c r="A9" s="2" t="s">
        <v>42</v>
      </c>
      <c r="B9" s="3" t="s">
        <v>626</v>
      </c>
      <c r="C9" s="3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>
      <c r="A10" s="2" t="s">
        <v>46</v>
      </c>
      <c r="B10" s="3" t="s">
        <v>628</v>
      </c>
      <c r="C10" s="3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>
      <c r="A11" s="2" t="s">
        <v>50</v>
      </c>
      <c r="B11" s="3" t="s">
        <v>630</v>
      </c>
      <c r="C11" s="3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>
      <c r="A12" s="2" t="s">
        <v>54</v>
      </c>
      <c r="B12" s="3" t="s">
        <v>632</v>
      </c>
      <c r="C12" s="3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>
      <c r="A13" s="2" t="s">
        <v>58</v>
      </c>
      <c r="B13" s="3" t="s">
        <v>634</v>
      </c>
      <c r="C13" s="3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>
      <c r="A14" s="2" t="s">
        <v>63</v>
      </c>
      <c r="B14" s="3" t="s">
        <v>636</v>
      </c>
      <c r="C14" s="3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>
      <c r="A15" s="2" t="s">
        <v>68</v>
      </c>
      <c r="B15" s="3" t="s">
        <v>638</v>
      </c>
      <c r="C15" s="3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>
      <c r="A16" s="2" t="s">
        <v>72</v>
      </c>
      <c r="B16" s="3" t="s">
        <v>640</v>
      </c>
      <c r="C16" s="3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>
      <c r="A17" s="2" t="s">
        <v>76</v>
      </c>
      <c r="B17" s="3" t="s">
        <v>642</v>
      </c>
      <c r="C17" s="3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>
      <c r="A18" s="2" t="s">
        <v>81</v>
      </c>
      <c r="B18" s="3" t="s">
        <v>644</v>
      </c>
      <c r="C18" s="3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>
      <c r="A19" s="2" t="s">
        <v>85</v>
      </c>
      <c r="B19" s="3" t="s">
        <v>646</v>
      </c>
      <c r="C19" s="3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>
      <c r="A20" s="2" t="s">
        <v>88</v>
      </c>
      <c r="B20" s="3" t="s">
        <v>647</v>
      </c>
      <c r="C20" s="3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>
      <c r="A21" s="2" t="s">
        <v>94</v>
      </c>
      <c r="B21" s="3" t="s">
        <v>649</v>
      </c>
      <c r="C21" s="3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>
      <c r="A22" s="2" t="s">
        <v>99</v>
      </c>
      <c r="B22" s="3" t="s">
        <v>651</v>
      </c>
      <c r="C22" s="3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>
      <c r="A23" s="2" t="s">
        <v>103</v>
      </c>
      <c r="B23" s="3" t="s">
        <v>653</v>
      </c>
      <c r="C23" s="3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>
      <c r="A24" s="2" t="s">
        <v>107</v>
      </c>
      <c r="B24" s="3" t="s">
        <v>655</v>
      </c>
      <c r="C24" s="3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>
      <c r="A25" s="2" t="s">
        <v>112</v>
      </c>
      <c r="B25" s="3" t="s">
        <v>657</v>
      </c>
      <c r="C25" s="3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>
      <c r="A26" s="2" t="s">
        <v>117</v>
      </c>
      <c r="B26" s="3" t="s">
        <v>659</v>
      </c>
      <c r="C26" s="3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>
      <c r="A27" s="2" t="s">
        <v>121</v>
      </c>
      <c r="B27" s="3" t="s">
        <v>661</v>
      </c>
      <c r="C27" s="3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>
      <c r="A28" s="2" t="s">
        <v>124</v>
      </c>
      <c r="B28" s="3" t="s">
        <v>640</v>
      </c>
      <c r="C28" s="3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>
      <c r="A29" s="2" t="s">
        <v>128</v>
      </c>
      <c r="B29" s="3" t="s">
        <v>664</v>
      </c>
      <c r="C29" s="3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>
      <c r="A30" s="2" t="s">
        <v>132</v>
      </c>
      <c r="B30" s="3" t="s">
        <v>666</v>
      </c>
      <c r="C30" s="3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>
      <c r="A31" s="2" t="s">
        <v>138</v>
      </c>
      <c r="B31" s="3" t="s">
        <v>668</v>
      </c>
      <c r="C31" s="3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>
      <c r="A32" s="2" t="s">
        <v>143</v>
      </c>
      <c r="B32" s="3" t="s">
        <v>670</v>
      </c>
      <c r="C32" s="3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>
      <c r="A33" s="2" t="s">
        <v>145</v>
      </c>
      <c r="B33" s="3" t="s">
        <v>672</v>
      </c>
      <c r="C33" s="3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>
      <c r="A34" s="2" t="s">
        <v>150</v>
      </c>
      <c r="B34" s="3" t="s">
        <v>674</v>
      </c>
      <c r="C34" s="3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>
      <c r="A35" s="2" t="s">
        <v>153</v>
      </c>
      <c r="B35" s="3" t="s">
        <v>676</v>
      </c>
      <c r="C35" s="3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>
      <c r="A36" s="2" t="s">
        <v>157</v>
      </c>
      <c r="B36" s="3" t="s">
        <v>678</v>
      </c>
      <c r="C36" s="3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>
      <c r="A37" s="2" t="s">
        <v>161</v>
      </c>
      <c r="B37" s="3" t="s">
        <v>680</v>
      </c>
      <c r="C37" s="3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>
      <c r="A38" s="2" t="s">
        <v>167</v>
      </c>
      <c r="B38" s="3" t="s">
        <v>682</v>
      </c>
      <c r="C38" s="3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>
      <c r="A39" s="2" t="s">
        <v>171</v>
      </c>
      <c r="B39" s="3" t="s">
        <v>684</v>
      </c>
      <c r="C39" s="3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>
      <c r="A40" s="2" t="s">
        <v>173</v>
      </c>
      <c r="B40" s="3" t="s">
        <v>686</v>
      </c>
      <c r="C40" s="3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>
      <c r="A41" s="2" t="s">
        <v>177</v>
      </c>
      <c r="B41" s="3" t="s">
        <v>688</v>
      </c>
      <c r="C41" s="3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>
      <c r="A42" s="2" t="s">
        <v>181</v>
      </c>
      <c r="B42" s="3" t="s">
        <v>690</v>
      </c>
      <c r="C42" s="3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>
      <c r="A43" s="2" t="s">
        <v>185</v>
      </c>
      <c r="B43" s="3" t="s">
        <v>692</v>
      </c>
      <c r="C43" s="3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>
      <c r="A44" s="2" t="s">
        <v>190</v>
      </c>
      <c r="B44" s="3" t="s">
        <v>694</v>
      </c>
      <c r="C44" s="3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>
      <c r="A45" s="2" t="s">
        <v>193</v>
      </c>
      <c r="B45" s="3" t="s">
        <v>696</v>
      </c>
      <c r="C45" s="3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>
      <c r="A46" s="2" t="s">
        <v>197</v>
      </c>
      <c r="B46" s="3" t="s">
        <v>698</v>
      </c>
      <c r="C46" s="3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>
      <c r="A47" s="2" t="s">
        <v>201</v>
      </c>
      <c r="B47" s="3" t="s">
        <v>700</v>
      </c>
      <c r="C47" s="3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>
      <c r="A48" s="2" t="s">
        <v>206</v>
      </c>
      <c r="B48" s="3" t="s">
        <v>702</v>
      </c>
      <c r="C48" s="3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>
      <c r="A49" s="2" t="s">
        <v>208</v>
      </c>
      <c r="B49" s="3" t="s">
        <v>704</v>
      </c>
      <c r="C49" s="3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>
      <c r="A50" s="2" t="s">
        <v>210</v>
      </c>
      <c r="B50" s="3" t="s">
        <v>706</v>
      </c>
      <c r="C50" s="3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>
      <c r="A51" s="2" t="s">
        <v>213</v>
      </c>
      <c r="B51" s="3" t="s">
        <v>708</v>
      </c>
      <c r="C51" s="3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>
      <c r="A52" s="2" t="s">
        <v>217</v>
      </c>
      <c r="B52" s="3" t="s">
        <v>710</v>
      </c>
      <c r="C52" s="3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>
      <c r="A53" s="2" t="s">
        <v>222</v>
      </c>
      <c r="B53" s="3" t="s">
        <v>712</v>
      </c>
      <c r="C53" s="3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>
      <c r="A54" s="2" t="s">
        <v>224</v>
      </c>
      <c r="B54" s="3" t="s">
        <v>714</v>
      </c>
      <c r="C54" s="3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>
      <c r="A55" s="2" t="s">
        <v>227</v>
      </c>
      <c r="B55" s="3" t="s">
        <v>716</v>
      </c>
      <c r="C55" s="3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>
      <c r="A56" s="2" t="s">
        <v>231</v>
      </c>
      <c r="B56" s="3" t="s">
        <v>718</v>
      </c>
      <c r="C56" s="3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>
      <c r="A57" s="2" t="s">
        <v>235</v>
      </c>
      <c r="B57" s="3" t="s">
        <v>720</v>
      </c>
      <c r="C57" s="3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>
      <c r="A58" s="2" t="s">
        <v>237</v>
      </c>
      <c r="B58" s="3" t="s">
        <v>722</v>
      </c>
      <c r="C58" s="3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>
      <c r="A59" s="2" t="s">
        <v>239</v>
      </c>
      <c r="B59" s="3" t="s">
        <v>657</v>
      </c>
      <c r="C59" s="3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>
      <c r="A60" s="2" t="s">
        <v>242</v>
      </c>
      <c r="B60" s="3" t="s">
        <v>725</v>
      </c>
      <c r="C60" s="3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>
      <c r="A61" s="2" t="s">
        <v>247</v>
      </c>
      <c r="B61" s="3" t="s">
        <v>727</v>
      </c>
      <c r="C61" s="3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>
      <c r="A62" s="2" t="s">
        <v>252</v>
      </c>
      <c r="B62" s="3" t="s">
        <v>729</v>
      </c>
      <c r="C62" s="3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>
      <c r="A63" s="2" t="s">
        <v>255</v>
      </c>
      <c r="B63" s="3" t="s">
        <v>731</v>
      </c>
      <c r="C63" s="3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>
      <c r="A64" s="2" t="s">
        <v>258</v>
      </c>
      <c r="B64" s="3" t="s">
        <v>733</v>
      </c>
      <c r="C64" s="3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>
      <c r="A65" s="2" t="s">
        <v>262</v>
      </c>
      <c r="B65" s="3" t="s">
        <v>735</v>
      </c>
      <c r="C65" s="3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>
      <c r="A66" s="2" t="s">
        <v>268</v>
      </c>
      <c r="B66" s="3" t="s">
        <v>737</v>
      </c>
      <c r="C66" s="3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>
      <c r="A67" s="2" t="s">
        <v>272</v>
      </c>
      <c r="B67" s="3" t="s">
        <v>739</v>
      </c>
      <c r="C67" s="3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>
      <c r="A68" s="2" t="s">
        <v>275</v>
      </c>
      <c r="B68" s="3" t="s">
        <v>741</v>
      </c>
      <c r="C68" s="3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>
      <c r="A69" s="2" t="s">
        <v>279</v>
      </c>
      <c r="B69" s="3" t="s">
        <v>743</v>
      </c>
      <c r="C69" s="3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>
      <c r="A70" s="2" t="s">
        <v>283</v>
      </c>
      <c r="B70" s="3" t="s">
        <v>745</v>
      </c>
      <c r="C70" s="3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>
      <c r="A71" s="2" t="s">
        <v>284</v>
      </c>
      <c r="B71" s="3" t="s">
        <v>747</v>
      </c>
      <c r="C71" s="3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>
      <c r="A72" s="2" t="s">
        <v>289</v>
      </c>
      <c r="B72" s="3" t="s">
        <v>749</v>
      </c>
      <c r="C72" s="3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>
      <c r="A73" s="2" t="s">
        <v>291</v>
      </c>
      <c r="B73" s="3" t="s">
        <v>751</v>
      </c>
      <c r="C73" s="3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>
      <c r="A74" s="2" t="s">
        <v>295</v>
      </c>
      <c r="B74" s="3" t="s">
        <v>753</v>
      </c>
      <c r="C74" s="3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>
      <c r="A75" s="2" t="s">
        <v>299</v>
      </c>
      <c r="B75" s="3" t="s">
        <v>755</v>
      </c>
      <c r="C75" s="3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>
      <c r="A76" s="2" t="s">
        <v>302</v>
      </c>
      <c r="B76" s="3" t="s">
        <v>757</v>
      </c>
      <c r="C76" s="3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>
      <c r="A77" s="2" t="s">
        <v>305</v>
      </c>
      <c r="B77" s="3" t="s">
        <v>759</v>
      </c>
      <c r="C77" s="3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>
      <c r="A78" s="2" t="s">
        <v>309</v>
      </c>
      <c r="B78" s="3" t="s">
        <v>761</v>
      </c>
      <c r="C78" s="3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>
      <c r="A79" s="2" t="s">
        <v>315</v>
      </c>
      <c r="B79" s="3" t="s">
        <v>763</v>
      </c>
      <c r="C79" s="3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>
      <c r="A80" s="2" t="s">
        <v>320</v>
      </c>
      <c r="B80" s="3" t="s">
        <v>765</v>
      </c>
      <c r="C80" s="3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>
      <c r="A81" s="2" t="s">
        <v>323</v>
      </c>
      <c r="B81" s="3" t="s">
        <v>767</v>
      </c>
      <c r="C81" s="3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>
      <c r="A82" s="2" t="s">
        <v>328</v>
      </c>
      <c r="B82" s="3" t="s">
        <v>769</v>
      </c>
      <c r="C82" s="3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>
      <c r="A83" s="2" t="s">
        <v>333</v>
      </c>
      <c r="B83" s="3" t="s">
        <v>771</v>
      </c>
      <c r="C83" s="3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>
      <c r="A84" s="2" t="s">
        <v>337</v>
      </c>
      <c r="B84" s="3" t="s">
        <v>773</v>
      </c>
      <c r="C84" s="3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>
      <c r="A85" s="2" t="s">
        <v>339</v>
      </c>
      <c r="B85" s="3" t="s">
        <v>775</v>
      </c>
      <c r="C85" s="3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>
      <c r="A86" s="2" t="s">
        <v>342</v>
      </c>
      <c r="B86" s="3" t="s">
        <v>777</v>
      </c>
      <c r="C86" s="3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>
      <c r="A87" s="2" t="s">
        <v>345</v>
      </c>
      <c r="B87" s="3" t="s">
        <v>779</v>
      </c>
      <c r="C87" s="3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>
      <c r="A88" s="2" t="s">
        <v>350</v>
      </c>
      <c r="B88" s="3" t="s">
        <v>781</v>
      </c>
      <c r="C88" s="3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>
      <c r="A89" s="2" t="s">
        <v>354</v>
      </c>
      <c r="B89" s="3" t="s">
        <v>783</v>
      </c>
      <c r="C89" s="3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>
      <c r="A90" s="2" t="s">
        <v>360</v>
      </c>
      <c r="B90" s="3" t="s">
        <v>785</v>
      </c>
      <c r="C90" s="3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>
      <c r="A91" s="2" t="s">
        <v>367</v>
      </c>
      <c r="B91" s="3" t="s">
        <v>787</v>
      </c>
      <c r="C91" s="3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>
      <c r="A92" s="2" t="s">
        <v>371</v>
      </c>
      <c r="B92" s="3" t="s">
        <v>789</v>
      </c>
      <c r="C92" s="3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>
      <c r="A93" s="2" t="s">
        <v>374</v>
      </c>
      <c r="B93" s="3" t="s">
        <v>791</v>
      </c>
      <c r="C93" s="3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>
      <c r="A94" s="2" t="s">
        <v>379</v>
      </c>
      <c r="B94" s="3" t="s">
        <v>793</v>
      </c>
      <c r="C94" s="3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>
      <c r="A95" s="2" t="s">
        <v>381</v>
      </c>
      <c r="B95" s="3" t="s">
        <v>795</v>
      </c>
      <c r="C95" s="3" t="s">
        <v>796</v>
      </c>
      <c r="D95" s="5">
        <v>52</v>
      </c>
      <c r="E95" s="3"/>
      <c r="F95" s="3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>
      <c r="A96" s="2" t="s">
        <v>386</v>
      </c>
      <c r="B96" s="3" t="s">
        <v>797</v>
      </c>
      <c r="C96" s="3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>
      <c r="A97" s="2" t="s">
        <v>391</v>
      </c>
      <c r="B97" s="3" t="s">
        <v>799</v>
      </c>
      <c r="C97" s="3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>
      <c r="A98" s="2" t="s">
        <v>396</v>
      </c>
      <c r="B98" s="3" t="s">
        <v>801</v>
      </c>
      <c r="C98" s="3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>
      <c r="A99" s="2" t="s">
        <v>400</v>
      </c>
      <c r="B99" s="3" t="s">
        <v>803</v>
      </c>
      <c r="C99" s="3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>
      <c r="A100" s="2" t="s">
        <v>405</v>
      </c>
      <c r="B100" s="3" t="s">
        <v>720</v>
      </c>
      <c r="C100" s="3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>
      <c r="A101" s="2" t="s">
        <v>407</v>
      </c>
      <c r="B101" s="3" t="s">
        <v>806</v>
      </c>
      <c r="C101" s="3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>
      <c r="A102" s="2" t="s">
        <v>410</v>
      </c>
      <c r="B102" s="3" t="s">
        <v>808</v>
      </c>
      <c r="C102" s="3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>
      <c r="A103" s="2" t="s">
        <v>415</v>
      </c>
      <c r="B103" s="3" t="s">
        <v>810</v>
      </c>
      <c r="C103" s="3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>
      <c r="A104" s="2" t="s">
        <v>418</v>
      </c>
      <c r="B104" s="3" t="s">
        <v>812</v>
      </c>
      <c r="C104" s="3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>
      <c r="A105" s="2" t="s">
        <v>423</v>
      </c>
      <c r="B105" s="3" t="s">
        <v>814</v>
      </c>
      <c r="C105" s="3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>
      <c r="A106" s="2" t="s">
        <v>429</v>
      </c>
      <c r="B106" s="3" t="s">
        <v>816</v>
      </c>
      <c r="C106" s="3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>
      <c r="A107" s="2" t="s">
        <v>433</v>
      </c>
      <c r="B107" s="3" t="s">
        <v>818</v>
      </c>
      <c r="C107" s="3"/>
      <c r="D107" s="5">
        <v>64</v>
      </c>
      <c r="E107" s="3"/>
      <c r="F107" s="3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>
      <c r="A108" s="2" t="s">
        <v>437</v>
      </c>
      <c r="B108" s="3" t="s">
        <v>612</v>
      </c>
      <c r="C108" s="3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>
      <c r="A109" s="2" t="s">
        <v>440</v>
      </c>
      <c r="B109" s="3" t="s">
        <v>820</v>
      </c>
      <c r="C109" s="3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>
      <c r="A110" s="2" t="s">
        <v>444</v>
      </c>
      <c r="B110" s="3" t="s">
        <v>822</v>
      </c>
      <c r="C110" s="3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>
      <c r="A111" s="2" t="s">
        <v>446</v>
      </c>
      <c r="B111" s="3" t="s">
        <v>824</v>
      </c>
      <c r="C111" s="3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>
      <c r="A112" s="2" t="s">
        <v>450</v>
      </c>
      <c r="B112" s="3" t="s">
        <v>826</v>
      </c>
      <c r="C112" s="3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>
      <c r="A113" s="2" t="s">
        <v>454</v>
      </c>
      <c r="B113" s="3" t="s">
        <v>828</v>
      </c>
      <c r="C113" s="3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>
      <c r="A114" s="2" t="s">
        <v>457</v>
      </c>
      <c r="B114" s="3" t="s">
        <v>830</v>
      </c>
      <c r="C114" s="3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>
      <c r="A115" s="2" t="s">
        <v>461</v>
      </c>
      <c r="B115" s="3" t="s">
        <v>832</v>
      </c>
      <c r="C115" s="3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>
      <c r="A116" s="2" t="s">
        <v>464</v>
      </c>
      <c r="B116" s="3" t="s">
        <v>733</v>
      </c>
      <c r="C116" s="3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>
      <c r="A117" s="2" t="s">
        <v>466</v>
      </c>
      <c r="B117" s="3" t="s">
        <v>835</v>
      </c>
      <c r="C117" s="3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>
      <c r="A118" s="2" t="s">
        <v>468</v>
      </c>
      <c r="B118" s="3" t="s">
        <v>837</v>
      </c>
      <c r="C118" s="3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>
      <c r="A119" s="2" t="s">
        <v>472</v>
      </c>
      <c r="B119" s="3" t="s">
        <v>839</v>
      </c>
      <c r="C119" s="3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>
      <c r="A120" s="2" t="s">
        <v>476</v>
      </c>
      <c r="B120" s="3" t="s">
        <v>841</v>
      </c>
      <c r="C120" s="3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>
      <c r="A121" s="2" t="s">
        <v>481</v>
      </c>
      <c r="B121" s="3" t="s">
        <v>843</v>
      </c>
      <c r="C121" s="3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>
      <c r="A122" s="2" t="s">
        <v>484</v>
      </c>
      <c r="B122" s="3" t="s">
        <v>845</v>
      </c>
      <c r="C122" s="3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>
      <c r="A123" s="2" t="s">
        <v>488</v>
      </c>
      <c r="B123" s="3" t="s">
        <v>847</v>
      </c>
      <c r="C123" s="3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>
      <c r="A124" s="2" t="s">
        <v>494</v>
      </c>
      <c r="B124" s="3" t="s">
        <v>849</v>
      </c>
      <c r="C124" s="3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>
      <c r="A125" s="2" t="s">
        <v>495</v>
      </c>
      <c r="B125" s="3" t="s">
        <v>851</v>
      </c>
      <c r="C125" s="3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>
      <c r="A126" s="2" t="s">
        <v>498</v>
      </c>
      <c r="B126" s="3" t="s">
        <v>853</v>
      </c>
      <c r="C126" s="3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>
      <c r="A127" s="2" t="s">
        <v>502</v>
      </c>
      <c r="B127" s="3" t="s">
        <v>855</v>
      </c>
      <c r="C127" s="3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>
      <c r="A128" s="2" t="s">
        <v>507</v>
      </c>
      <c r="B128" s="3" t="s">
        <v>857</v>
      </c>
      <c r="C128" s="3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>
      <c r="A129" s="2" t="s">
        <v>511</v>
      </c>
      <c r="B129" s="3" t="s">
        <v>859</v>
      </c>
      <c r="C129" s="3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>
      <c r="A130" s="2" t="s">
        <v>515</v>
      </c>
      <c r="B130" s="3" t="s">
        <v>614</v>
      </c>
      <c r="C130" s="3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>
      <c r="A131" s="2" t="s">
        <v>520</v>
      </c>
      <c r="B131" s="3" t="s">
        <v>862</v>
      </c>
      <c r="C131" s="3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>
      <c r="A132" s="2" t="s">
        <v>523</v>
      </c>
      <c r="B132" s="3" t="s">
        <v>864</v>
      </c>
      <c r="C132" s="3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>
      <c r="A133" s="2" t="s">
        <v>526</v>
      </c>
      <c r="B133" s="3" t="s">
        <v>682</v>
      </c>
      <c r="C133" s="3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>
      <c r="A134" s="2" t="s">
        <v>530</v>
      </c>
      <c r="B134" s="3" t="s">
        <v>867</v>
      </c>
      <c r="C134" s="3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>
      <c r="A135" s="2" t="s">
        <v>534</v>
      </c>
      <c r="B135" s="3" t="s">
        <v>869</v>
      </c>
      <c r="C135" s="3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>
      <c r="A136" s="2" t="s">
        <v>540</v>
      </c>
      <c r="B136" s="3" t="s">
        <v>871</v>
      </c>
      <c r="C136" s="3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>
      <c r="A137" s="2" t="s">
        <v>544</v>
      </c>
      <c r="B137" s="3" t="s">
        <v>873</v>
      </c>
      <c r="C137" s="3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>
      <c r="A138" s="2" t="s">
        <v>549</v>
      </c>
      <c r="B138" s="3" t="s">
        <v>875</v>
      </c>
      <c r="C138" s="3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>
      <c r="A139" s="2" t="s">
        <v>553</v>
      </c>
      <c r="B139" s="3" t="s">
        <v>877</v>
      </c>
      <c r="C139" s="3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>
      <c r="A140" s="2" t="s">
        <v>557</v>
      </c>
      <c r="B140" s="3" t="s">
        <v>879</v>
      </c>
      <c r="C140" s="3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>
      <c r="A141" s="2" t="s">
        <v>560</v>
      </c>
      <c r="B141" s="3" t="s">
        <v>881</v>
      </c>
      <c r="C141" s="3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>
      <c r="A142" s="2" t="s">
        <v>562</v>
      </c>
      <c r="B142" s="3" t="s">
        <v>883</v>
      </c>
      <c r="C142" s="3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>
      <c r="A143" s="2" t="s">
        <v>568</v>
      </c>
      <c r="B143" s="3" t="s">
        <v>885</v>
      </c>
      <c r="C143" s="3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>
      <c r="A144" s="2" t="s">
        <v>570</v>
      </c>
      <c r="B144" s="3" t="s">
        <v>887</v>
      </c>
      <c r="C144" s="3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>
      <c r="A145" s="2" t="s">
        <v>575</v>
      </c>
      <c r="B145" s="3" t="s">
        <v>889</v>
      </c>
      <c r="C145" s="3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>
      <c r="A146" s="2" t="s">
        <v>577</v>
      </c>
      <c r="B146" s="3" t="s">
        <v>891</v>
      </c>
      <c r="C146" s="3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>
      <c r="A147" s="2" t="s">
        <v>580</v>
      </c>
      <c r="B147" s="3" t="s">
        <v>893</v>
      </c>
      <c r="C147" s="3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>
      <c r="A148" s="2" t="s">
        <v>586</v>
      </c>
      <c r="B148" s="3" t="s">
        <v>895</v>
      </c>
      <c r="C148" s="3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>
      <c r="A149" s="2" t="s">
        <v>590</v>
      </c>
      <c r="B149" s="3" t="s">
        <v>897</v>
      </c>
      <c r="C149" s="3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>
      <c r="A150" s="2" t="s">
        <v>592</v>
      </c>
      <c r="B150" s="3" t="s">
        <v>899</v>
      </c>
      <c r="C150" s="3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0"/>
  <sheetViews>
    <sheetView zoomScale="110" zoomScaleNormal="110" workbookViewId="0">
      <selection sqref="A1:J1048576"/>
    </sheetView>
  </sheetViews>
  <sheetFormatPr defaultRowHeight="15"/>
  <cols>
    <col min="1" max="1" width="31" customWidth="1"/>
    <col min="2" max="2" width="13.28515625" customWidth="1"/>
    <col min="3" max="3" width="14" customWidth="1"/>
    <col min="4" max="4" width="15.85546875" customWidth="1"/>
    <col min="5" max="5" width="12.28515625" customWidth="1"/>
    <col min="6" max="6" width="12" customWidth="1"/>
    <col min="7" max="7" width="12.28515625" customWidth="1"/>
    <col min="8" max="9" width="13.42578125" customWidth="1"/>
    <col min="10" max="10" width="14.140625" customWidth="1"/>
  </cols>
  <sheetData>
    <row r="1" spans="1:10" ht="51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>
      <c r="A2" s="2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3" t="s">
        <v>909</v>
      </c>
      <c r="I2" s="3" t="s">
        <v>910</v>
      </c>
      <c r="J2" s="3" t="s">
        <v>911</v>
      </c>
    </row>
    <row r="3" spans="1:10">
      <c r="A3" s="2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3" t="s">
        <v>909</v>
      </c>
      <c r="I3" s="3" t="s">
        <v>910</v>
      </c>
      <c r="J3" s="3" t="s">
        <v>911</v>
      </c>
    </row>
    <row r="4" spans="1:10">
      <c r="A4" s="2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3" t="s">
        <v>912</v>
      </c>
      <c r="I4" s="3" t="s">
        <v>12</v>
      </c>
      <c r="J4" s="3" t="s">
        <v>913</v>
      </c>
    </row>
    <row r="5" spans="1:10">
      <c r="A5" s="2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3" t="s">
        <v>912</v>
      </c>
      <c r="I5" s="3" t="s">
        <v>12</v>
      </c>
      <c r="J5" s="3" t="s">
        <v>913</v>
      </c>
    </row>
    <row r="6" spans="1:10">
      <c r="A6" s="2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3" t="s">
        <v>914</v>
      </c>
      <c r="I6" s="3" t="s">
        <v>915</v>
      </c>
      <c r="J6" s="3" t="s">
        <v>916</v>
      </c>
    </row>
    <row r="7" spans="1:10">
      <c r="A7" s="2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3" t="s">
        <v>914</v>
      </c>
      <c r="I7" s="3" t="s">
        <v>915</v>
      </c>
      <c r="J7" s="3" t="s">
        <v>916</v>
      </c>
    </row>
    <row r="8" spans="1:10">
      <c r="A8" s="2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3" t="s">
        <v>917</v>
      </c>
      <c r="I8" s="3" t="s">
        <v>12</v>
      </c>
      <c r="J8" s="3" t="s">
        <v>918</v>
      </c>
    </row>
    <row r="9" spans="1:10">
      <c r="A9" s="2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3" t="s">
        <v>917</v>
      </c>
      <c r="I9" s="3" t="s">
        <v>12</v>
      </c>
      <c r="J9" s="3" t="s">
        <v>918</v>
      </c>
    </row>
    <row r="10" spans="1:10">
      <c r="A10" s="2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3" t="s">
        <v>919</v>
      </c>
      <c r="I10" s="3" t="s">
        <v>920</v>
      </c>
      <c r="J10" s="3" t="s">
        <v>921</v>
      </c>
    </row>
    <row r="11" spans="1:10">
      <c r="A11" s="2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3" t="s">
        <v>919</v>
      </c>
      <c r="I11" s="3" t="s">
        <v>920</v>
      </c>
      <c r="J11" s="3" t="s">
        <v>921</v>
      </c>
    </row>
    <row r="12" spans="1:10">
      <c r="A12" s="2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3" t="s">
        <v>922</v>
      </c>
      <c r="I12" s="3" t="s">
        <v>923</v>
      </c>
      <c r="J12" s="3" t="s">
        <v>924</v>
      </c>
    </row>
    <row r="13" spans="1:10">
      <c r="A13" s="2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3" t="s">
        <v>922</v>
      </c>
      <c r="I13" s="3" t="s">
        <v>923</v>
      </c>
      <c r="J13" s="3" t="s">
        <v>924</v>
      </c>
    </row>
    <row r="14" spans="1:10">
      <c r="A14" s="2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3" t="s">
        <v>925</v>
      </c>
      <c r="I14" s="3" t="s">
        <v>12</v>
      </c>
      <c r="J14" s="3" t="s">
        <v>926</v>
      </c>
    </row>
    <row r="15" spans="1:10">
      <c r="A15" s="2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3" t="s">
        <v>925</v>
      </c>
      <c r="I15" s="3" t="s">
        <v>12</v>
      </c>
      <c r="J15" s="3" t="s">
        <v>926</v>
      </c>
    </row>
    <row r="16" spans="1:10">
      <c r="A16" s="2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3" t="s">
        <v>922</v>
      </c>
      <c r="I16" s="3" t="s">
        <v>927</v>
      </c>
      <c r="J16" s="3" t="s">
        <v>928</v>
      </c>
    </row>
    <row r="17" spans="1:10">
      <c r="A17" s="2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3" t="s">
        <v>922</v>
      </c>
      <c r="I17" s="3" t="s">
        <v>927</v>
      </c>
      <c r="J17" s="3" t="s">
        <v>928</v>
      </c>
    </row>
    <row r="18" spans="1:10">
      <c r="A18" s="2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3" t="s">
        <v>929</v>
      </c>
      <c r="I18" s="3" t="s">
        <v>926</v>
      </c>
      <c r="J18" s="3" t="s">
        <v>913</v>
      </c>
    </row>
    <row r="19" spans="1:10">
      <c r="A19" s="2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3" t="s">
        <v>929</v>
      </c>
      <c r="I19" s="3" t="s">
        <v>926</v>
      </c>
      <c r="J19" s="3" t="s">
        <v>913</v>
      </c>
    </row>
    <row r="20" spans="1:10">
      <c r="A20" s="2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3" t="s">
        <v>930</v>
      </c>
      <c r="I20" s="3" t="s">
        <v>910</v>
      </c>
      <c r="J20" s="3" t="s">
        <v>926</v>
      </c>
    </row>
    <row r="21" spans="1:10">
      <c r="A21" s="2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3" t="s">
        <v>930</v>
      </c>
      <c r="I21" s="3" t="s">
        <v>910</v>
      </c>
      <c r="J21" s="3" t="s">
        <v>926</v>
      </c>
    </row>
    <row r="22" spans="1:10">
      <c r="A22" s="2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3" t="s">
        <v>931</v>
      </c>
      <c r="I22" s="3" t="s">
        <v>932</v>
      </c>
      <c r="J22" s="3" t="s">
        <v>911</v>
      </c>
    </row>
    <row r="23" spans="1:10">
      <c r="A23" s="2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3" t="s">
        <v>931</v>
      </c>
      <c r="I23" s="3" t="s">
        <v>932</v>
      </c>
      <c r="J23" s="3" t="s">
        <v>911</v>
      </c>
    </row>
    <row r="24" spans="1:10">
      <c r="A24" s="2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3" t="s">
        <v>933</v>
      </c>
      <c r="I24" s="3" t="s">
        <v>12</v>
      </c>
      <c r="J24" s="3" t="s">
        <v>934</v>
      </c>
    </row>
    <row r="25" spans="1:10">
      <c r="A25" s="2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3" t="s">
        <v>933</v>
      </c>
      <c r="I25" s="3" t="s">
        <v>12</v>
      </c>
      <c r="J25" s="3" t="s">
        <v>934</v>
      </c>
    </row>
    <row r="26" spans="1:10">
      <c r="A26" s="2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3" t="s">
        <v>933</v>
      </c>
      <c r="I26" s="3" t="s">
        <v>910</v>
      </c>
      <c r="J26" s="3" t="s">
        <v>935</v>
      </c>
    </row>
    <row r="27" spans="1:10">
      <c r="A27" s="2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3" t="s">
        <v>933</v>
      </c>
      <c r="I27" s="3" t="s">
        <v>910</v>
      </c>
      <c r="J27" s="3" t="s">
        <v>935</v>
      </c>
    </row>
    <row r="28" spans="1:10">
      <c r="A28" s="2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3" t="s">
        <v>925</v>
      </c>
      <c r="I28" s="3" t="s">
        <v>936</v>
      </c>
      <c r="J28" s="3" t="s">
        <v>937</v>
      </c>
    </row>
    <row r="29" spans="1:10">
      <c r="A29" s="2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3" t="s">
        <v>925</v>
      </c>
      <c r="I29" s="3" t="s">
        <v>936</v>
      </c>
      <c r="J29" s="3" t="s">
        <v>937</v>
      </c>
    </row>
    <row r="30" spans="1:10">
      <c r="A30" s="2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3" t="s">
        <v>925</v>
      </c>
      <c r="I30" s="3" t="s">
        <v>938</v>
      </c>
      <c r="J30" s="3" t="s">
        <v>918</v>
      </c>
    </row>
    <row r="31" spans="1:10">
      <c r="A31" s="2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3" t="s">
        <v>925</v>
      </c>
      <c r="I31" s="3" t="s">
        <v>938</v>
      </c>
      <c r="J31" s="3" t="s">
        <v>918</v>
      </c>
    </row>
    <row r="32" spans="1:10">
      <c r="A32" s="2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3" t="s">
        <v>909</v>
      </c>
      <c r="I32" s="3" t="s">
        <v>376</v>
      </c>
      <c r="J32" s="3" t="s">
        <v>911</v>
      </c>
    </row>
    <row r="33" spans="1:10">
      <c r="A33" s="2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3" t="s">
        <v>909</v>
      </c>
      <c r="I33" s="3" t="s">
        <v>376</v>
      </c>
      <c r="J33" s="3" t="s">
        <v>911</v>
      </c>
    </row>
    <row r="34" spans="1:10">
      <c r="A34" s="2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3" t="s">
        <v>939</v>
      </c>
      <c r="I34" s="3" t="s">
        <v>12</v>
      </c>
      <c r="J34" s="3" t="s">
        <v>940</v>
      </c>
    </row>
    <row r="35" spans="1:10">
      <c r="A35" s="2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3" t="s">
        <v>939</v>
      </c>
      <c r="I35" s="3" t="s">
        <v>12</v>
      </c>
      <c r="J35" s="3" t="s">
        <v>940</v>
      </c>
    </row>
    <row r="36" spans="1:10">
      <c r="A36" s="2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3" t="s">
        <v>941</v>
      </c>
      <c r="I36" s="3" t="s">
        <v>12</v>
      </c>
      <c r="J36" s="3" t="s">
        <v>920</v>
      </c>
    </row>
    <row r="37" spans="1:10">
      <c r="A37" s="2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3" t="s">
        <v>941</v>
      </c>
      <c r="I37" s="3" t="s">
        <v>12</v>
      </c>
      <c r="J37" s="3" t="s">
        <v>920</v>
      </c>
    </row>
    <row r="38" spans="1:10">
      <c r="A38" s="2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3" t="s">
        <v>942</v>
      </c>
      <c r="I38" s="3" t="s">
        <v>943</v>
      </c>
      <c r="J38" s="3" t="s">
        <v>935</v>
      </c>
    </row>
    <row r="39" spans="1:10">
      <c r="A39" s="2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3" t="s">
        <v>942</v>
      </c>
      <c r="I39" s="3" t="s">
        <v>943</v>
      </c>
      <c r="J39" s="3" t="s">
        <v>935</v>
      </c>
    </row>
    <row r="40" spans="1:10">
      <c r="A40" s="2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3" t="s">
        <v>944</v>
      </c>
      <c r="I40" s="3" t="s">
        <v>913</v>
      </c>
      <c r="J40" s="3" t="s">
        <v>945</v>
      </c>
    </row>
    <row r="41" spans="1:10">
      <c r="A41" s="2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3" t="s">
        <v>944</v>
      </c>
      <c r="I41" s="3" t="s">
        <v>913</v>
      </c>
      <c r="J41" s="3" t="s">
        <v>945</v>
      </c>
    </row>
    <row r="42" spans="1:10">
      <c r="A42" s="2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3" t="s">
        <v>946</v>
      </c>
      <c r="I42" s="3" t="s">
        <v>12</v>
      </c>
      <c r="J42" s="3" t="s">
        <v>926</v>
      </c>
    </row>
    <row r="43" spans="1:10">
      <c r="A43" s="2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3" t="s">
        <v>946</v>
      </c>
      <c r="I43" s="3" t="s">
        <v>12</v>
      </c>
      <c r="J43" s="3" t="s">
        <v>926</v>
      </c>
    </row>
    <row r="44" spans="1:10">
      <c r="A44" s="2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3" t="s">
        <v>947</v>
      </c>
      <c r="I44" s="3" t="s">
        <v>920</v>
      </c>
      <c r="J44" s="3" t="s">
        <v>945</v>
      </c>
    </row>
    <row r="45" spans="1:10">
      <c r="A45" s="2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3" t="s">
        <v>947</v>
      </c>
      <c r="I45" s="3" t="s">
        <v>920</v>
      </c>
      <c r="J45" s="3" t="s">
        <v>945</v>
      </c>
    </row>
    <row r="46" spans="1:10">
      <c r="A46" s="2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3" t="s">
        <v>948</v>
      </c>
      <c r="I46" s="3" t="s">
        <v>949</v>
      </c>
      <c r="J46" s="3" t="s">
        <v>950</v>
      </c>
    </row>
    <row r="47" spans="1:10">
      <c r="A47" s="2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3" t="s">
        <v>948</v>
      </c>
      <c r="I47" s="3" t="s">
        <v>949</v>
      </c>
      <c r="J47" s="3" t="s">
        <v>950</v>
      </c>
    </row>
    <row r="48" spans="1:10">
      <c r="A48" s="2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3" t="s">
        <v>951</v>
      </c>
      <c r="I48" s="3" t="s">
        <v>940</v>
      </c>
      <c r="J48" s="3" t="s">
        <v>921</v>
      </c>
    </row>
    <row r="49" spans="1:10">
      <c r="A49" s="2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3" t="s">
        <v>951</v>
      </c>
      <c r="I49" s="3" t="s">
        <v>940</v>
      </c>
      <c r="J49" s="3" t="s">
        <v>921</v>
      </c>
    </row>
    <row r="50" spans="1:10">
      <c r="A50" s="2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3" t="s">
        <v>952</v>
      </c>
      <c r="I50" s="3" t="s">
        <v>953</v>
      </c>
      <c r="J50" s="3" t="s">
        <v>954</v>
      </c>
    </row>
    <row r="51" spans="1:10">
      <c r="A51" s="2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3" t="s">
        <v>952</v>
      </c>
      <c r="I51" s="3" t="s">
        <v>953</v>
      </c>
      <c r="J51" s="3" t="s">
        <v>954</v>
      </c>
    </row>
    <row r="52" spans="1:10">
      <c r="A52" s="2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3" t="s">
        <v>955</v>
      </c>
      <c r="I52" s="3"/>
      <c r="J52" s="3" t="s">
        <v>956</v>
      </c>
    </row>
    <row r="53" spans="1:10">
      <c r="A53" s="2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3" t="s">
        <v>955</v>
      </c>
      <c r="I53" s="3"/>
      <c r="J53" s="3" t="s">
        <v>956</v>
      </c>
    </row>
    <row r="54" spans="1:10">
      <c r="A54" s="2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3" t="s">
        <v>922</v>
      </c>
      <c r="I54" s="3" t="s">
        <v>934</v>
      </c>
      <c r="J54" s="3" t="s">
        <v>926</v>
      </c>
    </row>
    <row r="55" spans="1:10">
      <c r="A55" s="2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3" t="s">
        <v>922</v>
      </c>
      <c r="I55" s="3" t="s">
        <v>934</v>
      </c>
      <c r="J55" s="3" t="s">
        <v>926</v>
      </c>
    </row>
    <row r="56" spans="1:10">
      <c r="A56" s="2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3" t="s">
        <v>948</v>
      </c>
      <c r="I56" s="3" t="s">
        <v>957</v>
      </c>
      <c r="J56" s="3" t="s">
        <v>958</v>
      </c>
    </row>
    <row r="57" spans="1:10">
      <c r="A57" s="2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3" t="s">
        <v>948</v>
      </c>
      <c r="I57" s="3" t="s">
        <v>957</v>
      </c>
      <c r="J57" s="3" t="s">
        <v>958</v>
      </c>
    </row>
    <row r="58" spans="1:10">
      <c r="A58" s="2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3" t="s">
        <v>959</v>
      </c>
      <c r="I58" s="3" t="s">
        <v>960</v>
      </c>
      <c r="J58" s="3" t="s">
        <v>924</v>
      </c>
    </row>
    <row r="59" spans="1:10">
      <c r="A59" s="2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3" t="s">
        <v>959</v>
      </c>
      <c r="I59" s="3" t="s">
        <v>960</v>
      </c>
      <c r="J59" s="3" t="s">
        <v>924</v>
      </c>
    </row>
    <row r="60" spans="1:10">
      <c r="A60" s="2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3" t="s">
        <v>961</v>
      </c>
      <c r="I60" s="3" t="s">
        <v>962</v>
      </c>
      <c r="J60" s="3" t="s">
        <v>954</v>
      </c>
    </row>
    <row r="61" spans="1:10">
      <c r="A61" s="2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3" t="s">
        <v>961</v>
      </c>
      <c r="I61" s="3" t="s">
        <v>962</v>
      </c>
      <c r="J61" s="3" t="s">
        <v>954</v>
      </c>
    </row>
    <row r="62" spans="1:10">
      <c r="A62" s="2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3" t="s">
        <v>963</v>
      </c>
      <c r="I62" s="3" t="s">
        <v>957</v>
      </c>
      <c r="J62" s="3" t="s">
        <v>934</v>
      </c>
    </row>
    <row r="63" spans="1:10">
      <c r="A63" s="2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3" t="s">
        <v>963</v>
      </c>
      <c r="I63" s="3" t="s">
        <v>957</v>
      </c>
      <c r="J63" s="3" t="s">
        <v>934</v>
      </c>
    </row>
    <row r="64" spans="1:10">
      <c r="A64" s="2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3" t="s">
        <v>964</v>
      </c>
      <c r="I64" s="3" t="s">
        <v>957</v>
      </c>
      <c r="J64" s="3" t="s">
        <v>965</v>
      </c>
    </row>
    <row r="65" spans="1:10">
      <c r="A65" s="2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3" t="s">
        <v>964</v>
      </c>
      <c r="I65" s="3" t="s">
        <v>957</v>
      </c>
      <c r="J65" s="3" t="s">
        <v>965</v>
      </c>
    </row>
    <row r="66" spans="1:10">
      <c r="A66" s="2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3" t="s">
        <v>966</v>
      </c>
      <c r="I66" s="3" t="s">
        <v>920</v>
      </c>
      <c r="J66" s="3" t="s">
        <v>921</v>
      </c>
    </row>
    <row r="67" spans="1:10">
      <c r="A67" s="2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3" t="s">
        <v>966</v>
      </c>
      <c r="I67" s="3" t="s">
        <v>920</v>
      </c>
      <c r="J67" s="3" t="s">
        <v>921</v>
      </c>
    </row>
    <row r="68" spans="1:10">
      <c r="A68" s="2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3" t="s">
        <v>967</v>
      </c>
      <c r="I68" s="3" t="s">
        <v>12</v>
      </c>
      <c r="J68" s="3" t="s">
        <v>911</v>
      </c>
    </row>
    <row r="69" spans="1:10">
      <c r="A69" s="2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3" t="s">
        <v>967</v>
      </c>
      <c r="I69" s="3" t="s">
        <v>12</v>
      </c>
      <c r="J69" s="3" t="s">
        <v>911</v>
      </c>
    </row>
    <row r="70" spans="1:10">
      <c r="A70" s="2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3" t="s">
        <v>929</v>
      </c>
      <c r="I70" s="3" t="s">
        <v>910</v>
      </c>
      <c r="J70" s="3" t="s">
        <v>913</v>
      </c>
    </row>
    <row r="71" spans="1:10">
      <c r="A71" s="2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3" t="s">
        <v>929</v>
      </c>
      <c r="I71" s="3" t="s">
        <v>910</v>
      </c>
      <c r="J71" s="3" t="s">
        <v>913</v>
      </c>
    </row>
    <row r="72" spans="1:10">
      <c r="A72" s="2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3" t="s">
        <v>912</v>
      </c>
      <c r="I72" s="3" t="s">
        <v>920</v>
      </c>
      <c r="J72" s="3" t="s">
        <v>913</v>
      </c>
    </row>
    <row r="73" spans="1:10">
      <c r="A73" s="2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3" t="s">
        <v>912</v>
      </c>
      <c r="I73" s="3" t="s">
        <v>920</v>
      </c>
      <c r="J73" s="3" t="s">
        <v>913</v>
      </c>
    </row>
    <row r="74" spans="1:10">
      <c r="A74" s="2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3" t="s">
        <v>968</v>
      </c>
      <c r="I74" s="3" t="s">
        <v>12</v>
      </c>
      <c r="J74" s="3" t="s">
        <v>911</v>
      </c>
    </row>
    <row r="75" spans="1:10">
      <c r="A75" s="2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3" t="s">
        <v>968</v>
      </c>
      <c r="I75" s="3" t="s">
        <v>12</v>
      </c>
      <c r="J75" s="3" t="s">
        <v>911</v>
      </c>
    </row>
    <row r="76" spans="1:10">
      <c r="A76" s="2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3" t="s">
        <v>969</v>
      </c>
      <c r="I76" s="3" t="s">
        <v>960</v>
      </c>
      <c r="J76" s="3" t="s">
        <v>937</v>
      </c>
    </row>
    <row r="77" spans="1:10">
      <c r="A77" s="2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3" t="s">
        <v>969</v>
      </c>
      <c r="I77" s="3" t="s">
        <v>960</v>
      </c>
      <c r="J77" s="3" t="s">
        <v>937</v>
      </c>
    </row>
    <row r="78" spans="1:10">
      <c r="A78" s="2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3" t="s">
        <v>952</v>
      </c>
      <c r="I78" s="3" t="s">
        <v>12</v>
      </c>
      <c r="J78" s="3" t="s">
        <v>921</v>
      </c>
    </row>
    <row r="79" spans="1:10">
      <c r="A79" s="2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3" t="s">
        <v>952</v>
      </c>
      <c r="I79" s="3" t="s">
        <v>12</v>
      </c>
      <c r="J79" s="3" t="s">
        <v>921</v>
      </c>
    </row>
    <row r="80" spans="1:10">
      <c r="A80" s="2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3" t="s">
        <v>970</v>
      </c>
      <c r="I80" s="3" t="s">
        <v>920</v>
      </c>
      <c r="J80" s="3" t="s">
        <v>971</v>
      </c>
    </row>
    <row r="81" spans="1:10">
      <c r="A81" s="2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3" t="s">
        <v>970</v>
      </c>
      <c r="I81" s="3" t="s">
        <v>920</v>
      </c>
      <c r="J81" s="3" t="s">
        <v>971</v>
      </c>
    </row>
    <row r="82" spans="1:10">
      <c r="A82" s="2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3" t="s">
        <v>972</v>
      </c>
      <c r="I82" s="3" t="s">
        <v>12</v>
      </c>
      <c r="J82" s="3" t="s">
        <v>913</v>
      </c>
    </row>
    <row r="83" spans="1:10">
      <c r="A83" s="2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3" t="s">
        <v>972</v>
      </c>
      <c r="I83" s="3" t="s">
        <v>12</v>
      </c>
      <c r="J83" s="3" t="s">
        <v>913</v>
      </c>
    </row>
    <row r="84" spans="1:10">
      <c r="A84" s="2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3" t="s">
        <v>21</v>
      </c>
      <c r="I84" s="3" t="s">
        <v>973</v>
      </c>
      <c r="J84" s="3" t="s">
        <v>945</v>
      </c>
    </row>
    <row r="85" spans="1:10">
      <c r="A85" s="2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3" t="s">
        <v>21</v>
      </c>
      <c r="I85" s="3" t="s">
        <v>973</v>
      </c>
      <c r="J85" s="3" t="s">
        <v>945</v>
      </c>
    </row>
    <row r="86" spans="1:10">
      <c r="A86" s="2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3" t="s">
        <v>462</v>
      </c>
      <c r="I86" s="3" t="s">
        <v>910</v>
      </c>
      <c r="J86" s="3" t="s">
        <v>926</v>
      </c>
    </row>
    <row r="87" spans="1:10">
      <c r="A87" s="2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3" t="s">
        <v>462</v>
      </c>
      <c r="I87" s="3" t="s">
        <v>910</v>
      </c>
      <c r="J87" s="3" t="s">
        <v>926</v>
      </c>
    </row>
    <row r="88" spans="1:10">
      <c r="A88" s="2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3" t="s">
        <v>974</v>
      </c>
      <c r="I88" s="3" t="s">
        <v>926</v>
      </c>
      <c r="J88" s="3" t="s">
        <v>934</v>
      </c>
    </row>
    <row r="89" spans="1:10">
      <c r="A89" s="2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3" t="s">
        <v>974</v>
      </c>
      <c r="I89" s="3" t="s">
        <v>926</v>
      </c>
      <c r="J89" s="3" t="s">
        <v>934</v>
      </c>
    </row>
    <row r="90" spans="1:10">
      <c r="A90" s="2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3" t="s">
        <v>967</v>
      </c>
      <c r="I90" s="3" t="s">
        <v>973</v>
      </c>
      <c r="J90" s="3" t="s">
        <v>913</v>
      </c>
    </row>
    <row r="91" spans="1:10">
      <c r="A91" s="2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3" t="s">
        <v>967</v>
      </c>
      <c r="I91" s="3" t="s">
        <v>973</v>
      </c>
      <c r="J91" s="3" t="s">
        <v>913</v>
      </c>
    </row>
    <row r="92" spans="1:10">
      <c r="A92" s="2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3" t="s">
        <v>912</v>
      </c>
      <c r="I92" s="3" t="s">
        <v>958</v>
      </c>
      <c r="J92" s="3" t="s">
        <v>926</v>
      </c>
    </row>
    <row r="93" spans="1:10">
      <c r="A93" s="2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3" t="s">
        <v>912</v>
      </c>
      <c r="I93" s="3" t="s">
        <v>958</v>
      </c>
      <c r="J93" s="3" t="s">
        <v>926</v>
      </c>
    </row>
    <row r="94" spans="1:10">
      <c r="A94" s="2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3" t="s">
        <v>909</v>
      </c>
      <c r="I94" s="3" t="s">
        <v>975</v>
      </c>
      <c r="J94" s="3" t="s">
        <v>954</v>
      </c>
    </row>
    <row r="95" spans="1:10">
      <c r="A95" s="2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3" t="s">
        <v>909</v>
      </c>
      <c r="I95" s="3" t="s">
        <v>975</v>
      </c>
      <c r="J95" s="3" t="s">
        <v>954</v>
      </c>
    </row>
    <row r="96" spans="1:10">
      <c r="A96" s="2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3" t="s">
        <v>976</v>
      </c>
      <c r="I96" s="3" t="s">
        <v>376</v>
      </c>
      <c r="J96" s="3" t="s">
        <v>926</v>
      </c>
    </row>
    <row r="97" spans="1:10">
      <c r="A97" s="2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3" t="s">
        <v>976</v>
      </c>
      <c r="I97" s="3" t="s">
        <v>376</v>
      </c>
      <c r="J97" s="3" t="s">
        <v>926</v>
      </c>
    </row>
    <row r="98" spans="1:10">
      <c r="A98" s="2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3" t="s">
        <v>977</v>
      </c>
      <c r="I98" s="3" t="s">
        <v>12</v>
      </c>
      <c r="J98" s="3" t="s">
        <v>978</v>
      </c>
    </row>
    <row r="99" spans="1:10">
      <c r="A99" s="2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3" t="s">
        <v>977</v>
      </c>
      <c r="I99" s="3" t="s">
        <v>12</v>
      </c>
      <c r="J99" s="3" t="s">
        <v>978</v>
      </c>
    </row>
    <row r="100" spans="1:10">
      <c r="A100" s="2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3" t="s">
        <v>966</v>
      </c>
      <c r="I100" s="3" t="s">
        <v>979</v>
      </c>
      <c r="J100" s="3" t="s">
        <v>956</v>
      </c>
    </row>
    <row r="101" spans="1:10">
      <c r="A101" s="2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3" t="s">
        <v>966</v>
      </c>
      <c r="I101" s="3" t="s">
        <v>979</v>
      </c>
      <c r="J101" s="3" t="s">
        <v>956</v>
      </c>
    </row>
    <row r="102" spans="1:10">
      <c r="A102" s="2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3" t="s">
        <v>980</v>
      </c>
      <c r="I102" s="3" t="s">
        <v>376</v>
      </c>
      <c r="J102" s="3" t="s">
        <v>918</v>
      </c>
    </row>
    <row r="103" spans="1:10">
      <c r="A103" s="2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3" t="s">
        <v>980</v>
      </c>
      <c r="I103" s="3" t="s">
        <v>376</v>
      </c>
      <c r="J103" s="3" t="s">
        <v>918</v>
      </c>
    </row>
    <row r="104" spans="1:10">
      <c r="A104" s="2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3" t="s">
        <v>981</v>
      </c>
      <c r="I104" s="3" t="s">
        <v>376</v>
      </c>
      <c r="J104" s="3" t="s">
        <v>940</v>
      </c>
    </row>
    <row r="105" spans="1:10">
      <c r="A105" s="2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3" t="s">
        <v>981</v>
      </c>
      <c r="I105" s="3" t="s">
        <v>376</v>
      </c>
      <c r="J105" s="3" t="s">
        <v>940</v>
      </c>
    </row>
    <row r="106" spans="1:10">
      <c r="A106" s="2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3" t="s">
        <v>982</v>
      </c>
      <c r="I106" s="3" t="s">
        <v>916</v>
      </c>
      <c r="J106" s="3" t="s">
        <v>911</v>
      </c>
    </row>
    <row r="107" spans="1:10">
      <c r="A107" s="2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3" t="s">
        <v>982</v>
      </c>
      <c r="I107" s="3" t="s">
        <v>916</v>
      </c>
      <c r="J107" s="3" t="s">
        <v>911</v>
      </c>
    </row>
    <row r="108" spans="1:10">
      <c r="A108" s="2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3" t="s">
        <v>914</v>
      </c>
      <c r="I108" s="3" t="s">
        <v>12</v>
      </c>
      <c r="J108" s="3" t="s">
        <v>958</v>
      </c>
    </row>
    <row r="109" spans="1:10">
      <c r="A109" s="2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3" t="s">
        <v>914</v>
      </c>
      <c r="I109" s="3" t="s">
        <v>12</v>
      </c>
      <c r="J109" s="3" t="s">
        <v>958</v>
      </c>
    </row>
    <row r="110" spans="1:10">
      <c r="A110" s="2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3" t="s">
        <v>983</v>
      </c>
      <c r="I110" s="3"/>
      <c r="J110" s="3" t="s">
        <v>954</v>
      </c>
    </row>
    <row r="111" spans="1:10">
      <c r="A111" s="2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3" t="s">
        <v>983</v>
      </c>
      <c r="I111" s="3"/>
      <c r="J111" s="3" t="s">
        <v>954</v>
      </c>
    </row>
    <row r="112" spans="1:10">
      <c r="A112" s="2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3" t="s">
        <v>984</v>
      </c>
      <c r="I112" s="3" t="s">
        <v>12</v>
      </c>
      <c r="J112" s="3" t="s">
        <v>945</v>
      </c>
    </row>
    <row r="113" spans="1:10">
      <c r="A113" s="2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3" t="s">
        <v>984</v>
      </c>
      <c r="I113" s="3" t="s">
        <v>12</v>
      </c>
      <c r="J113" s="3" t="s">
        <v>945</v>
      </c>
    </row>
    <row r="114" spans="1:10">
      <c r="A114" s="2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3" t="s">
        <v>985</v>
      </c>
      <c r="I114" s="3" t="s">
        <v>956</v>
      </c>
      <c r="J114" s="3" t="s">
        <v>916</v>
      </c>
    </row>
    <row r="115" spans="1:10">
      <c r="A115" s="2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3" t="s">
        <v>985</v>
      </c>
      <c r="I115" s="3" t="s">
        <v>956</v>
      </c>
      <c r="J115" s="3" t="s">
        <v>916</v>
      </c>
    </row>
    <row r="116" spans="1:10">
      <c r="A116" s="2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3" t="s">
        <v>986</v>
      </c>
      <c r="I116" s="3" t="s">
        <v>910</v>
      </c>
      <c r="J116" s="3" t="s">
        <v>921</v>
      </c>
    </row>
    <row r="117" spans="1:10">
      <c r="A117" s="2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3" t="s">
        <v>986</v>
      </c>
      <c r="I117" s="3" t="s">
        <v>910</v>
      </c>
      <c r="J117" s="3" t="s">
        <v>921</v>
      </c>
    </row>
    <row r="118" spans="1:10">
      <c r="A118" s="2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3" t="s">
        <v>987</v>
      </c>
      <c r="I118" s="3" t="s">
        <v>988</v>
      </c>
      <c r="J118" s="3" t="s">
        <v>913</v>
      </c>
    </row>
    <row r="119" spans="1:10">
      <c r="A119" s="2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3" t="s">
        <v>987</v>
      </c>
      <c r="I119" s="3" t="s">
        <v>988</v>
      </c>
      <c r="J119" s="3" t="s">
        <v>913</v>
      </c>
    </row>
    <row r="120" spans="1:10">
      <c r="A120" s="2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3" t="s">
        <v>980</v>
      </c>
      <c r="I120" s="3" t="s">
        <v>920</v>
      </c>
      <c r="J120" s="3" t="s">
        <v>940</v>
      </c>
    </row>
    <row r="121" spans="1:10">
      <c r="A121" s="2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3" t="s">
        <v>980</v>
      </c>
      <c r="I121" s="3" t="s">
        <v>920</v>
      </c>
      <c r="J121" s="3" t="s">
        <v>940</v>
      </c>
    </row>
    <row r="122" spans="1:10">
      <c r="A122" s="2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3" t="s">
        <v>989</v>
      </c>
      <c r="I122" s="3" t="s">
        <v>12</v>
      </c>
      <c r="J122" s="3" t="s">
        <v>916</v>
      </c>
    </row>
    <row r="123" spans="1:10">
      <c r="A123" s="2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3" t="s">
        <v>989</v>
      </c>
      <c r="I123" s="3" t="s">
        <v>12</v>
      </c>
      <c r="J123" s="3" t="s">
        <v>916</v>
      </c>
    </row>
    <row r="124" spans="1:10">
      <c r="A124" s="2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3" t="s">
        <v>990</v>
      </c>
      <c r="I124" s="3" t="s">
        <v>911</v>
      </c>
      <c r="J124" s="3" t="s">
        <v>956</v>
      </c>
    </row>
    <row r="125" spans="1:10">
      <c r="A125" s="2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3" t="s">
        <v>990</v>
      </c>
      <c r="I125" s="3" t="s">
        <v>911</v>
      </c>
      <c r="J125" s="3" t="s">
        <v>956</v>
      </c>
    </row>
    <row r="126" spans="1:10">
      <c r="A126" s="2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3" t="s">
        <v>984</v>
      </c>
      <c r="I126" s="3" t="s">
        <v>916</v>
      </c>
      <c r="J126" s="3" t="s">
        <v>991</v>
      </c>
    </row>
    <row r="127" spans="1:10">
      <c r="A127" s="2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3" t="s">
        <v>984</v>
      </c>
      <c r="I127" s="3" t="s">
        <v>916</v>
      </c>
      <c r="J127" s="3" t="s">
        <v>991</v>
      </c>
    </row>
    <row r="128" spans="1:10">
      <c r="A128" s="2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3" t="s">
        <v>992</v>
      </c>
      <c r="I128" s="3" t="s">
        <v>923</v>
      </c>
      <c r="J128" s="3" t="s">
        <v>940</v>
      </c>
    </row>
    <row r="129" spans="1:10">
      <c r="A129" s="2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3" t="s">
        <v>992</v>
      </c>
      <c r="I129" s="3" t="s">
        <v>923</v>
      </c>
      <c r="J129" s="3" t="s">
        <v>940</v>
      </c>
    </row>
    <row r="130" spans="1:10">
      <c r="A130" s="2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3" t="s">
        <v>970</v>
      </c>
      <c r="I130" s="3" t="s">
        <v>12</v>
      </c>
      <c r="J130" s="3" t="s">
        <v>926</v>
      </c>
    </row>
    <row r="131" spans="1:10">
      <c r="A131" s="2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3" t="s">
        <v>970</v>
      </c>
      <c r="I131" s="3" t="s">
        <v>12</v>
      </c>
      <c r="J131" s="3" t="s">
        <v>926</v>
      </c>
    </row>
    <row r="132" spans="1:10">
      <c r="A132" s="2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3" t="s">
        <v>993</v>
      </c>
      <c r="I132" s="3" t="s">
        <v>12</v>
      </c>
      <c r="J132" s="3" t="s">
        <v>973</v>
      </c>
    </row>
    <row r="133" spans="1:10">
      <c r="A133" s="2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3" t="s">
        <v>993</v>
      </c>
      <c r="I133" s="3" t="s">
        <v>12</v>
      </c>
      <c r="J133" s="3" t="s">
        <v>973</v>
      </c>
    </row>
    <row r="134" spans="1:10">
      <c r="A134" s="2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3" t="s">
        <v>946</v>
      </c>
      <c r="I134" s="3" t="s">
        <v>994</v>
      </c>
      <c r="J134" s="3" t="s">
        <v>926</v>
      </c>
    </row>
    <row r="135" spans="1:10">
      <c r="A135" s="2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3" t="s">
        <v>946</v>
      </c>
      <c r="I135" s="3" t="s">
        <v>994</v>
      </c>
      <c r="J135" s="3" t="s">
        <v>926</v>
      </c>
    </row>
    <row r="136" spans="1:10">
      <c r="A136" s="2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3" t="s">
        <v>995</v>
      </c>
      <c r="I136" s="3" t="s">
        <v>996</v>
      </c>
      <c r="J136" s="3" t="s">
        <v>927</v>
      </c>
    </row>
    <row r="137" spans="1:10">
      <c r="A137" s="2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3" t="s">
        <v>995</v>
      </c>
      <c r="I137" s="3" t="s">
        <v>996</v>
      </c>
      <c r="J137" s="3" t="s">
        <v>927</v>
      </c>
    </row>
    <row r="138" spans="1:10">
      <c r="A138" s="2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3" t="s">
        <v>983</v>
      </c>
      <c r="I138" s="3" t="s">
        <v>934</v>
      </c>
      <c r="J138" s="3" t="s">
        <v>940</v>
      </c>
    </row>
    <row r="139" spans="1:10">
      <c r="A139" s="2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3" t="s">
        <v>983</v>
      </c>
      <c r="I139" s="3" t="s">
        <v>934</v>
      </c>
      <c r="J139" s="3" t="s">
        <v>940</v>
      </c>
    </row>
    <row r="140" spans="1:10">
      <c r="A140" s="2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3" t="s">
        <v>931</v>
      </c>
      <c r="I140" s="3" t="s">
        <v>997</v>
      </c>
      <c r="J140" s="3" t="s">
        <v>940</v>
      </c>
    </row>
    <row r="141" spans="1:10">
      <c r="A141" s="2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3" t="s">
        <v>931</v>
      </c>
      <c r="I141" s="3" t="s">
        <v>997</v>
      </c>
      <c r="J141" s="3" t="s">
        <v>940</v>
      </c>
    </row>
    <row r="142" spans="1:10">
      <c r="A142" s="2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3" t="s">
        <v>963</v>
      </c>
      <c r="I142" s="3" t="s">
        <v>998</v>
      </c>
      <c r="J142" s="3" t="s">
        <v>940</v>
      </c>
    </row>
    <row r="143" spans="1:10">
      <c r="A143" s="2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3" t="s">
        <v>963</v>
      </c>
      <c r="I143" s="3" t="s">
        <v>998</v>
      </c>
      <c r="J143" s="3" t="s">
        <v>940</v>
      </c>
    </row>
    <row r="144" spans="1:10">
      <c r="A144" s="2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3" t="s">
        <v>999</v>
      </c>
      <c r="I144" s="3" t="s">
        <v>1000</v>
      </c>
      <c r="J144" s="3" t="s">
        <v>935</v>
      </c>
    </row>
    <row r="145" spans="1:10">
      <c r="A145" s="2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3" t="s">
        <v>999</v>
      </c>
      <c r="I145" s="3" t="s">
        <v>1000</v>
      </c>
      <c r="J145" s="3" t="s">
        <v>935</v>
      </c>
    </row>
    <row r="146" spans="1:10">
      <c r="A146" s="2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3" t="s">
        <v>981</v>
      </c>
      <c r="I146" s="3" t="s">
        <v>12</v>
      </c>
      <c r="J146" s="3" t="s">
        <v>940</v>
      </c>
    </row>
    <row r="147" spans="1:10">
      <c r="A147" s="2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3" t="s">
        <v>981</v>
      </c>
      <c r="I147" s="3" t="s">
        <v>12</v>
      </c>
      <c r="J147" s="3" t="s">
        <v>940</v>
      </c>
    </row>
    <row r="148" spans="1:10">
      <c r="A148" s="2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3" t="s">
        <v>977</v>
      </c>
      <c r="I148" s="3" t="s">
        <v>12</v>
      </c>
      <c r="J148" s="3" t="s">
        <v>911</v>
      </c>
    </row>
    <row r="149" spans="1:10">
      <c r="A149" s="2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3" t="s">
        <v>977</v>
      </c>
      <c r="I149" s="3" t="s">
        <v>12</v>
      </c>
      <c r="J149" s="3" t="s">
        <v>911</v>
      </c>
    </row>
    <row r="150" spans="1:10">
      <c r="A150" s="2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3" t="s">
        <v>931</v>
      </c>
      <c r="I150" s="3" t="s">
        <v>921</v>
      </c>
      <c r="J150" s="3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0"/>
  <sheetViews>
    <sheetView zoomScale="120" zoomScaleNormal="120" workbookViewId="0">
      <selection activeCell="A2" sqref="A1:G150"/>
    </sheetView>
  </sheetViews>
  <sheetFormatPr defaultRowHeight="15"/>
  <cols>
    <col min="1" max="1" width="32.5703125" customWidth="1"/>
    <col min="2" max="2" width="20.28515625" customWidth="1"/>
    <col min="3" max="3" width="40.7109375" customWidth="1"/>
    <col min="4" max="4" width="23.42578125" customWidth="1"/>
    <col min="5" max="5" width="30.140625" customWidth="1"/>
    <col min="6" max="6" width="25.140625" customWidth="1"/>
    <col min="7" max="7" width="26.5703125" customWidth="1"/>
  </cols>
  <sheetData>
    <row r="1" spans="1:7" ht="33.75" customHeight="1">
      <c r="A1" s="7" t="s">
        <v>0</v>
      </c>
      <c r="B1" s="8" t="s">
        <v>1001</v>
      </c>
      <c r="C1" s="9" t="s">
        <v>1002</v>
      </c>
      <c r="D1" s="10" t="s">
        <v>597</v>
      </c>
      <c r="E1" s="10" t="s">
        <v>8</v>
      </c>
      <c r="F1" s="10" t="s">
        <v>598</v>
      </c>
      <c r="G1" s="10" t="s">
        <v>600</v>
      </c>
    </row>
    <row r="2" spans="1:7">
      <c r="A2" t="str">
        <f>Break!A2</f>
        <v>Mum_Abdul Hamid (1008512)</v>
      </c>
      <c r="B2" t="str">
        <f>MID(A2,FIND("_",A2,1)+1,FIND("(",A2,1)-FIND("_",A2,1)-2)</f>
        <v>Abdul Hamid</v>
      </c>
      <c r="C2" s="12">
        <f>TIMEVALUE(VLOOKUP(A2,E_Data,2,0))</f>
        <v>0.34424768518518517</v>
      </c>
      <c r="D2" s="12">
        <f>TIMEVALUE(VLOOKUP(A2,E_Data,3,0))</f>
        <v>0.20693287037037036</v>
      </c>
      <c r="E2" s="12">
        <f>TIMEVALUE(VLOOKUP(A2,BData,9,0))</f>
        <v>4.7708333333333332E-2</v>
      </c>
      <c r="F2">
        <f>VLOOKUP(A2,PData,2,0)</f>
        <v>98</v>
      </c>
      <c r="G2" s="13">
        <f>VLOOKUP(A2,E_Data,6,0)</f>
        <v>0.55697138822580095</v>
      </c>
    </row>
    <row r="3" spans="1:7">
      <c r="A3" t="str">
        <f>Break!A3</f>
        <v>Mum_Afzal Husain (1008513)</v>
      </c>
      <c r="B3" t="str">
        <f t="shared" ref="B3:B66" si="0">MID(A3,FIND("_",A3,1)+1,FIND("(",A3,1)-FIND("_",A3,1)-2)</f>
        <v>Afzal Husain</v>
      </c>
      <c r="C3" s="12">
        <f>TIMEVALUE(VLOOKUP(A3,E_Data,2,0))</f>
        <v>0.34416666666666668</v>
      </c>
      <c r="D3" s="12">
        <f>TIMEVALUE(VLOOKUP(A3,E_Data,3,0))</f>
        <v>0.20733796296296295</v>
      </c>
      <c r="E3" s="12">
        <f>TIMEVALUE(VLOOKUP(A3,BData,9,0))</f>
        <v>4.8599537037037038E-2</v>
      </c>
      <c r="F3">
        <f>VLOOKUP(A3,PData,2,0)</f>
        <v>23</v>
      </c>
      <c r="G3" s="13">
        <f>VLOOKUP(A3,E_Data,6,0)</f>
        <v>0.58027306967984904</v>
      </c>
    </row>
    <row r="4" spans="1:7">
      <c r="A4" t="str">
        <f>Break!A4</f>
        <v>Mum_Anamika Gupta (1008514)</v>
      </c>
      <c r="B4" t="str">
        <f t="shared" si="0"/>
        <v>Anamika Gupta</v>
      </c>
      <c r="C4" s="12">
        <f>TIMEVALUE(VLOOKUP(A4,E_Data,2,0))</f>
        <v>0.34510416666666671</v>
      </c>
      <c r="D4" s="12">
        <f>TIMEVALUE(VLOOKUP(A4,E_Data,3,0))</f>
        <v>0.20109953703703706</v>
      </c>
      <c r="E4" s="12">
        <f>TIMEVALUE(VLOOKUP(A4,BData,9,0))</f>
        <v>5.1319444444444445E-2</v>
      </c>
      <c r="F4">
        <f>VLOOKUP(A4,PData,2,0)</f>
        <v>28</v>
      </c>
      <c r="G4" s="13">
        <f>VLOOKUP(A4,E_Data,6,0)</f>
        <v>0.51708756749505302</v>
      </c>
    </row>
    <row r="5" spans="1:7">
      <c r="A5" t="str">
        <f>Break!A5</f>
        <v>Mum_Anikuttan (1008515)</v>
      </c>
      <c r="B5" t="str">
        <f t="shared" si="0"/>
        <v>Anikuttan</v>
      </c>
      <c r="C5" s="12">
        <f>TIMEVALUE(VLOOKUP(A5,E_Data,2,0))</f>
        <v>0.34023148148148147</v>
      </c>
      <c r="D5" s="12">
        <f>TIMEVALUE(VLOOKUP(A5,E_Data,3,0))</f>
        <v>0.17884259259259261</v>
      </c>
      <c r="E5" s="12">
        <f>TIMEVALUE(VLOOKUP(A5,BData,9,0))</f>
        <v>9.6550925925925915E-2</v>
      </c>
      <c r="F5">
        <f>VLOOKUP(A5,PData,2,0)</f>
        <v>29</v>
      </c>
      <c r="G5" s="13">
        <f>VLOOKUP(A5,E_Data,6,0)</f>
        <v>0.47720778337188702</v>
      </c>
    </row>
    <row r="6" spans="1:7">
      <c r="A6" t="str">
        <f>Break!A6</f>
        <v>Mum_Anil Kumar (1008516)</v>
      </c>
      <c r="B6" t="str">
        <f t="shared" si="0"/>
        <v>Anil Kumar</v>
      </c>
      <c r="C6" s="12">
        <f>TIMEVALUE(VLOOKUP(A6,E_Data,2,0))</f>
        <v>0.30603009259259256</v>
      </c>
      <c r="D6" s="12">
        <f>TIMEVALUE(VLOOKUP(A6,E_Data,3,0))</f>
        <v>0.13870370370370369</v>
      </c>
      <c r="E6" s="12">
        <f>TIMEVALUE(VLOOKUP(A6,BData,9,0))</f>
        <v>0.12844907407407408</v>
      </c>
      <c r="F6">
        <f>VLOOKUP(A6,PData,2,0)</f>
        <v>93</v>
      </c>
      <c r="G6" s="13">
        <f>VLOOKUP(A6,E_Data,6,0)</f>
        <v>0.43288831738587802</v>
      </c>
    </row>
    <row r="7" spans="1:7">
      <c r="A7" t="str">
        <f>Break!A7</f>
        <v>Mum_Anita Dixit (1008517)</v>
      </c>
      <c r="B7" t="str">
        <f t="shared" si="0"/>
        <v>Anita Dixit</v>
      </c>
      <c r="C7" s="12">
        <f>TIMEVALUE(VLOOKUP(A7,E_Data,2,0))</f>
        <v>0.20843750000000003</v>
      </c>
      <c r="D7" s="12">
        <f>TIMEVALUE(VLOOKUP(A7,E_Data,3,0))</f>
        <v>0.15369212962962964</v>
      </c>
      <c r="E7" s="12">
        <f>TIMEVALUE(VLOOKUP(A7,BData,9,0))</f>
        <v>1.8831018518518518E-2</v>
      </c>
      <c r="F7">
        <f>VLOOKUP(A7,PData,2,0)</f>
        <v>92</v>
      </c>
      <c r="G7" s="13">
        <f>VLOOKUP(A7,E_Data,6,0)</f>
        <v>0.65495030262646503</v>
      </c>
    </row>
    <row r="8" spans="1:7">
      <c r="A8" t="str">
        <f>Break!A8</f>
        <v>Mum_Anita Ghore (1008518)</v>
      </c>
      <c r="B8" t="str">
        <f t="shared" si="0"/>
        <v>Anita Ghore</v>
      </c>
      <c r="C8" s="12">
        <f>TIMEVALUE(VLOOKUP(A8,E_Data,2,0))</f>
        <v>0.34488425925925931</v>
      </c>
      <c r="D8" s="12">
        <f>TIMEVALUE(VLOOKUP(A8,E_Data,3,0))</f>
        <v>0.17553240740740741</v>
      </c>
      <c r="E8" s="12">
        <f>TIMEVALUE(VLOOKUP(A8,BData,9,0))</f>
        <v>0.11229166666666668</v>
      </c>
      <c r="F8">
        <f>VLOOKUP(A8,PData,2,0)</f>
        <v>26</v>
      </c>
      <c r="G8" s="13">
        <f>VLOOKUP(A8,E_Data,6,0)</f>
        <v>0.49476474931203401</v>
      </c>
    </row>
    <row r="9" spans="1:7">
      <c r="A9" t="str">
        <f>Break!A9</f>
        <v>Mum_Anjali Deoram (1008519)</v>
      </c>
      <c r="B9" t="str">
        <f t="shared" si="0"/>
        <v>Anjali Deoram</v>
      </c>
      <c r="C9" s="12">
        <f>TIMEVALUE(VLOOKUP(A9,E_Data,2,0))</f>
        <v>0.38646990740740739</v>
      </c>
      <c r="D9" s="12">
        <f>TIMEVALUE(VLOOKUP(A9,E_Data,3,0))</f>
        <v>0.24453703703703702</v>
      </c>
      <c r="E9" s="12">
        <f>TIMEVALUE(VLOOKUP(A9,BData,9,0))</f>
        <v>5.0810185185185187E-2</v>
      </c>
      <c r="F9">
        <f>VLOOKUP(A9,PData,2,0)</f>
        <v>90</v>
      </c>
      <c r="G9" s="13">
        <f>VLOOKUP(A9,E_Data,6,0)</f>
        <v>0.55128627474469205</v>
      </c>
    </row>
    <row r="10" spans="1:7">
      <c r="A10" t="str">
        <f>Break!A10</f>
        <v>Mum_Anjali Sahay (1008520)</v>
      </c>
      <c r="B10" t="str">
        <f t="shared" si="0"/>
        <v>Anjali Sahay</v>
      </c>
      <c r="C10" s="12">
        <f>TIMEVALUE(VLOOKUP(A10,E_Data,2,0))</f>
        <v>0.34256944444444448</v>
      </c>
      <c r="D10" s="12">
        <f>TIMEVALUE(VLOOKUP(A10,E_Data,3,0))</f>
        <v>0.20311342592592593</v>
      </c>
      <c r="E10" s="12">
        <f>TIMEVALUE(VLOOKUP(A10,BData,9,0))</f>
        <v>4.628472222222222E-2</v>
      </c>
      <c r="F10">
        <f>VLOOKUP(A10,PData,2,0)</f>
        <v>89</v>
      </c>
      <c r="G10" s="13">
        <f>VLOOKUP(A10,E_Data,6,0)</f>
        <v>0.55206432867085597</v>
      </c>
    </row>
    <row r="11" spans="1:7">
      <c r="A11" t="str">
        <f>Break!A11</f>
        <v>Mum_Annu Latika (1008521)</v>
      </c>
      <c r="B11" t="str">
        <f t="shared" si="0"/>
        <v>Annu Latika</v>
      </c>
      <c r="C11" s="12">
        <f>TIMEVALUE(VLOOKUP(A11,E_Data,2,0))</f>
        <v>0.34769675925925925</v>
      </c>
      <c r="D11" s="12">
        <f>TIMEVALUE(VLOOKUP(A11,E_Data,3,0))</f>
        <v>0.20702546296296295</v>
      </c>
      <c r="E11" s="12">
        <f>TIMEVALUE(VLOOKUP(A11,BData,9,0))</f>
        <v>4.8576388888888884E-2</v>
      </c>
      <c r="F11">
        <f>VLOOKUP(A11,PData,2,0)</f>
        <v>54</v>
      </c>
      <c r="G11" s="13">
        <f>VLOOKUP(A11,E_Data,6,0)</f>
        <v>0.56868945774108703</v>
      </c>
    </row>
    <row r="12" spans="1:7">
      <c r="A12" t="str">
        <f>Break!A12</f>
        <v>Mum_Anoop Narayan (1008522)</v>
      </c>
      <c r="B12" t="str">
        <f t="shared" si="0"/>
        <v>Anoop Narayan</v>
      </c>
      <c r="C12" s="12">
        <f>TIMEVALUE(VLOOKUP(A12,E_Data,2,0))</f>
        <v>0.34068287037037037</v>
      </c>
      <c r="D12" s="12">
        <f>TIMEVALUE(VLOOKUP(A12,E_Data,3,0))</f>
        <v>0.20518518518518516</v>
      </c>
      <c r="E12" s="12">
        <f>TIMEVALUE(VLOOKUP(A12,BData,9,0))</f>
        <v>4.809027777777778E-2</v>
      </c>
      <c r="F12">
        <f>VLOOKUP(A12,PData,2,0)</f>
        <v>87</v>
      </c>
      <c r="G12" s="13">
        <f>VLOOKUP(A12,E_Data,6,0)</f>
        <v>0.56035332087650802</v>
      </c>
    </row>
    <row r="13" spans="1:7">
      <c r="A13" t="str">
        <f>Break!A13</f>
        <v>Mum_Anoop Raj (1008523)</v>
      </c>
      <c r="B13" t="str">
        <f t="shared" si="0"/>
        <v>Anoop Raj</v>
      </c>
      <c r="C13" s="12">
        <f>TIMEVALUE(VLOOKUP(A13,E_Data,2,0))</f>
        <v>0.33622685185185186</v>
      </c>
      <c r="D13" s="12">
        <f>TIMEVALUE(VLOOKUP(A13,E_Data,3,0))</f>
        <v>0.15812499999999999</v>
      </c>
      <c r="E13" s="12">
        <f>TIMEVALUE(VLOOKUP(A13,BData,9,0))</f>
        <v>0.12590277777777778</v>
      </c>
      <c r="F13">
        <f>VLOOKUP(A13,PData,2,0)</f>
        <v>65</v>
      </c>
      <c r="G13" s="13">
        <f>VLOOKUP(A13,E_Data,6,0)</f>
        <v>0.41552495697073999</v>
      </c>
    </row>
    <row r="14" spans="1:7">
      <c r="A14" t="str">
        <f>Break!A14</f>
        <v>Mum_Anubhuti Gupta (1008524)</v>
      </c>
      <c r="B14" t="str">
        <f t="shared" si="0"/>
        <v>Anubhuti Gupta</v>
      </c>
      <c r="C14" s="12">
        <f>TIMEVALUE(VLOOKUP(A14,E_Data,2,0))</f>
        <v>0.34349537037037042</v>
      </c>
      <c r="D14" s="12">
        <f>TIMEVALUE(VLOOKUP(A14,E_Data,3,0))</f>
        <v>0.19699074074074074</v>
      </c>
      <c r="E14" s="12">
        <f>TIMEVALUE(VLOOKUP(A14,BData,9,0))</f>
        <v>8.7974537037037046E-2</v>
      </c>
      <c r="F14">
        <f>VLOOKUP(A14,PData,2,0)</f>
        <v>85</v>
      </c>
      <c r="G14" s="13">
        <f>VLOOKUP(A14,E_Data,6,0)</f>
        <v>0.50026955994339195</v>
      </c>
    </row>
    <row r="15" spans="1:7">
      <c r="A15" t="str">
        <f>Break!A15</f>
        <v>Mum_Arun Kumar (1008525)</v>
      </c>
      <c r="B15" t="str">
        <f t="shared" si="0"/>
        <v>Arun Kumar</v>
      </c>
      <c r="C15" s="12">
        <f>TIMEVALUE(VLOOKUP(A15,E_Data,2,0))</f>
        <v>0.33321759259259259</v>
      </c>
      <c r="D15" s="12">
        <f>TIMEVALUE(VLOOKUP(A15,E_Data,3,0))</f>
        <v>0.19475694444444444</v>
      </c>
      <c r="E15" s="12">
        <f>TIMEVALUE(VLOOKUP(A15,BData,9,0))</f>
        <v>4.9004629629629627E-2</v>
      </c>
      <c r="F15">
        <f>VLOOKUP(A15,PData,2,0)</f>
        <v>65</v>
      </c>
      <c r="G15" s="13">
        <f>VLOOKUP(A15,E_Data,6,0)</f>
        <v>0.51396318166029897</v>
      </c>
    </row>
    <row r="16" spans="1:7">
      <c r="A16" t="str">
        <f>Break!A16</f>
        <v>Mum_Ashish Kumar (1008526)</v>
      </c>
      <c r="B16" t="str">
        <f>MID(A16,FIND("_",A16,1)+1,FIND("(",A16,1)-FIND("_",A16,1)-2)</f>
        <v>Ashish Kumar</v>
      </c>
      <c r="C16" s="12">
        <f>TIMEVALUE(VLOOKUP(A16,E_Data,2,0))</f>
        <v>0.34512731481481485</v>
      </c>
      <c r="D16" s="12">
        <f>TIMEVALUE(VLOOKUP(A16,E_Data,3,0))</f>
        <v>0.2066550925925926</v>
      </c>
      <c r="E16" s="12">
        <f>TIMEVALUE(VLOOKUP(A16,BData,9,0))</f>
        <v>5.3460648148148153E-2</v>
      </c>
      <c r="F16">
        <f>VLOOKUP(A16,PData,2,0)</f>
        <v>83</v>
      </c>
      <c r="G16" s="13">
        <f>VLOOKUP(A16,E_Data,6,0)</f>
        <v>0.510580502364264</v>
      </c>
    </row>
    <row r="17" spans="1:7">
      <c r="A17" t="str">
        <f>Break!A17</f>
        <v>Mum_Ashok Kumar (1008527)</v>
      </c>
      <c r="B17" t="str">
        <f t="shared" si="0"/>
        <v>Ashok Kumar</v>
      </c>
      <c r="C17" s="12">
        <f>TIMEVALUE(VLOOKUP(A17,E_Data,2,0))</f>
        <v>0.34531249999999997</v>
      </c>
      <c r="D17" s="12">
        <f>TIMEVALUE(VLOOKUP(A17,E_Data,3,0))</f>
        <v>0.17390046296296294</v>
      </c>
      <c r="E17" s="12">
        <f>TIMEVALUE(VLOOKUP(A17,BData,9,0))</f>
        <v>0.10023148148148148</v>
      </c>
      <c r="F17">
        <f>VLOOKUP(A17,PData,2,0)</f>
        <v>82</v>
      </c>
      <c r="G17" s="13">
        <f>VLOOKUP(A17,E_Data,6,0)</f>
        <v>0.48292274174627098</v>
      </c>
    </row>
    <row r="18" spans="1:7">
      <c r="A18" t="str">
        <f>Break!A18</f>
        <v>Hyd_Ashok Kumar (1008528)</v>
      </c>
      <c r="B18" t="str">
        <f t="shared" si="0"/>
        <v>Ashok Kumar</v>
      </c>
      <c r="C18" s="12">
        <f>TIMEVALUE(VLOOKUP(A18,E_Data,2,0))</f>
        <v>0.32848379629629632</v>
      </c>
      <c r="D18" s="12">
        <f>TIMEVALUE(VLOOKUP(A18,E_Data,3,0))</f>
        <v>0.1973611111111111</v>
      </c>
      <c r="E18" s="12">
        <f>TIMEVALUE(VLOOKUP(A18,BData,9,0))</f>
        <v>3.9224537037037037E-2</v>
      </c>
      <c r="F18">
        <f>VLOOKUP(A18,PData,2,0)</f>
        <v>81</v>
      </c>
      <c r="G18" s="13">
        <f>VLOOKUP(A18,E_Data,6,0)</f>
        <v>0.57362319861879396</v>
      </c>
    </row>
    <row r="19" spans="1:7">
      <c r="A19" t="str">
        <f>Break!A19</f>
        <v>Hyd_Ashok Kumar (1008529)</v>
      </c>
      <c r="B19" t="str">
        <f t="shared" si="0"/>
        <v>Ashok Kumar</v>
      </c>
      <c r="C19" s="12">
        <f>TIMEVALUE(VLOOKUP(A19,E_Data,2,0))</f>
        <v>0.34494212962962961</v>
      </c>
      <c r="D19" s="12">
        <f>TIMEVALUE(VLOOKUP(A19,E_Data,3,0))</f>
        <v>0.20702546296296295</v>
      </c>
      <c r="E19" s="12">
        <f>TIMEVALUE(VLOOKUP(A19,BData,9,0))</f>
        <v>4.8692129629629627E-2</v>
      </c>
      <c r="F19">
        <f>VLOOKUP(A19,PData,2,0)</f>
        <v>80</v>
      </c>
      <c r="G19" s="13">
        <f>VLOOKUP(A19,E_Data,6,0)</f>
        <v>0.56430560681810604</v>
      </c>
    </row>
    <row r="20" spans="1:7">
      <c r="A20" t="str">
        <f>Break!A20</f>
        <v>Hyd_Ashok Kumar (1008530)</v>
      </c>
      <c r="B20" t="str">
        <f t="shared" si="0"/>
        <v>Ashok Kumar</v>
      </c>
      <c r="C20" s="12">
        <f>TIMEVALUE(VLOOKUP(A20,E_Data,2,0))</f>
        <v>0.34810185185185188</v>
      </c>
      <c r="D20" s="12">
        <f>TIMEVALUE(VLOOKUP(A20,E_Data,3,0))</f>
        <v>0.18267361111111111</v>
      </c>
      <c r="E20" s="12">
        <f>TIMEVALUE(VLOOKUP(A20,BData,9,0))</f>
        <v>0.11122685185185184</v>
      </c>
      <c r="F20">
        <f>VLOOKUP(A20,PData,2,0)</f>
        <v>79</v>
      </c>
      <c r="G20" s="13">
        <f>VLOOKUP(A20,E_Data,6,0)</f>
        <v>0.46974331693044302</v>
      </c>
    </row>
    <row r="21" spans="1:7">
      <c r="A21" t="str">
        <f>Break!A21</f>
        <v>Hyd_Ashok Mahto (1008531)</v>
      </c>
      <c r="B21" t="str">
        <f t="shared" si="0"/>
        <v>Ashok Mahto</v>
      </c>
      <c r="C21" s="12">
        <f>TIMEVALUE(VLOOKUP(A21,E_Data,2,0))</f>
        <v>0.34574074074074074</v>
      </c>
      <c r="D21" s="12">
        <f>TIMEVALUE(VLOOKUP(A21,E_Data,3,0))</f>
        <v>0.20710648148148147</v>
      </c>
      <c r="E21" s="12">
        <f>TIMEVALUE(VLOOKUP(A21,BData,9,0))</f>
        <v>5.1736111111111115E-2</v>
      </c>
      <c r="F21">
        <f>VLOOKUP(A21,PData,2,0)</f>
        <v>78</v>
      </c>
      <c r="G21" s="13">
        <f>VLOOKUP(A21,E_Data,6,0)</f>
        <v>0.57495313336904097</v>
      </c>
    </row>
    <row r="22" spans="1:7">
      <c r="A22" t="str">
        <f>Break!A22</f>
        <v>Hyd_Atul Kumar (1008532)</v>
      </c>
      <c r="B22" t="str">
        <f t="shared" si="0"/>
        <v>Atul Kumar</v>
      </c>
      <c r="C22" s="12">
        <f>TIMEVALUE(VLOOKUP(A22,E_Data,2,0))</f>
        <v>0.3428356481481481</v>
      </c>
      <c r="D22" s="12">
        <f>TIMEVALUE(VLOOKUP(A22,E_Data,3,0))</f>
        <v>0.20393518518518516</v>
      </c>
      <c r="E22" s="12">
        <f>TIMEVALUE(VLOOKUP(A22,BData,9,0))</f>
        <v>4.6516203703703705E-2</v>
      </c>
      <c r="F22">
        <f>VLOOKUP(A22,PData,2,0)</f>
        <v>77</v>
      </c>
      <c r="G22" s="13">
        <f>VLOOKUP(A22,E_Data,6,0)</f>
        <v>0.57945376590932096</v>
      </c>
    </row>
    <row r="23" spans="1:7">
      <c r="A23" t="str">
        <f>Break!A23</f>
        <v>Hyd_Azam (1008533)</v>
      </c>
      <c r="B23" t="str">
        <f t="shared" si="0"/>
        <v>Azam</v>
      </c>
      <c r="C23" s="12">
        <f>TIMEVALUE(VLOOKUP(A23,E_Data,2,0))</f>
        <v>0.34553240740740737</v>
      </c>
      <c r="D23" s="12">
        <f>TIMEVALUE(VLOOKUP(A23,E_Data,3,0))</f>
        <v>0.20821759259259257</v>
      </c>
      <c r="E23" s="12">
        <f>TIMEVALUE(VLOOKUP(A23,BData,9,0))</f>
        <v>4.8460648148148149E-2</v>
      </c>
      <c r="F23">
        <f>VLOOKUP(A23,PData,2,0)</f>
        <v>76</v>
      </c>
      <c r="G23" s="13">
        <f>VLOOKUP(A23,E_Data,6,0)</f>
        <v>0.588296375695049</v>
      </c>
    </row>
    <row r="24" spans="1:7">
      <c r="A24" t="str">
        <f>Break!A24</f>
        <v>Hyd_Bhagwat Singh (1008534)</v>
      </c>
      <c r="B24" t="str">
        <f t="shared" si="0"/>
        <v>Bhagwat Singh</v>
      </c>
      <c r="C24" s="12">
        <f>TIMEVALUE(VLOOKUP(A24,E_Data,2,0))</f>
        <v>0.32064814814814818</v>
      </c>
      <c r="D24" s="12">
        <f>TIMEVALUE(VLOOKUP(A24,E_Data,3,0))</f>
        <v>0.17288194444444446</v>
      </c>
      <c r="E24" s="12">
        <f>TIMEVALUE(VLOOKUP(A24,BData,9,0))</f>
        <v>9.0486111111111114E-2</v>
      </c>
      <c r="F24">
        <f>VLOOKUP(A24,PData,2,0)</f>
        <v>75</v>
      </c>
      <c r="G24" s="13">
        <f>VLOOKUP(A24,E_Data,6,0)</f>
        <v>0.46267686976609901</v>
      </c>
    </row>
    <row r="25" spans="1:7">
      <c r="A25" t="str">
        <f>Break!A25</f>
        <v>Hyd_Bindu Nair (1008535)</v>
      </c>
      <c r="B25" t="str">
        <f t="shared" si="0"/>
        <v>Bindu Nair</v>
      </c>
      <c r="C25" s="12">
        <f>TIMEVALUE(VLOOKUP(A25,E_Data,2,0))</f>
        <v>0.34032407407407406</v>
      </c>
      <c r="D25" s="12">
        <f>TIMEVALUE(VLOOKUP(A25,E_Data,3,0))</f>
        <v>0.17644675925925926</v>
      </c>
      <c r="E25" s="12">
        <f>TIMEVALUE(VLOOKUP(A25,BData,9,0))</f>
        <v>9.116898148148149E-2</v>
      </c>
      <c r="F25">
        <f>VLOOKUP(A25,PData,2,0)</f>
        <v>74</v>
      </c>
      <c r="G25" s="13">
        <f>VLOOKUP(A25,E_Data,6,0)</f>
        <v>0.478030199972793</v>
      </c>
    </row>
    <row r="26" spans="1:7">
      <c r="A26" t="str">
        <f>Break!A26</f>
        <v>Hyd_Daleep Singh (1008536)</v>
      </c>
      <c r="B26" t="str">
        <f t="shared" si="0"/>
        <v>Daleep Singh</v>
      </c>
      <c r="C26" s="12">
        <f>TIMEVALUE(VLOOKUP(A26,E_Data,2,0))</f>
        <v>0.34328703703703706</v>
      </c>
      <c r="D26" s="12">
        <f>TIMEVALUE(VLOOKUP(A26,E_Data,3,0))</f>
        <v>0.22703703703703704</v>
      </c>
      <c r="E26" s="12">
        <f>TIMEVALUE(VLOOKUP(A26,BData,9,0))</f>
        <v>5.0625000000000003E-2</v>
      </c>
      <c r="F26">
        <f>VLOOKUP(A26,PData,2,0)</f>
        <v>73</v>
      </c>
      <c r="G26" s="13">
        <f>VLOOKUP(A26,E_Data,6,0)</f>
        <v>0.59983142279163904</v>
      </c>
    </row>
    <row r="27" spans="1:7">
      <c r="A27" t="str">
        <f>Break!A27</f>
        <v>Hyd_Deepak Kumar (1008537)</v>
      </c>
      <c r="B27" t="str">
        <f t="shared" si="0"/>
        <v>Deepak Kumar</v>
      </c>
      <c r="C27" s="12">
        <f>TIMEVALUE(VLOOKUP(A27,E_Data,2,0))</f>
        <v>0.31663194444444448</v>
      </c>
      <c r="D27" s="12">
        <f>TIMEVALUE(VLOOKUP(A27,E_Data,3,0))</f>
        <v>0.21199074074074076</v>
      </c>
      <c r="E27" s="12">
        <f>TIMEVALUE(VLOOKUP(A27,BData,9,0))</f>
        <v>2.1180555555555553E-2</v>
      </c>
      <c r="F27">
        <f>VLOOKUP(A27,PData,2,0)</f>
        <v>72</v>
      </c>
      <c r="G27" s="13">
        <f>VLOOKUP(A27,E_Data,6,0)</f>
        <v>0.65029060203969702</v>
      </c>
    </row>
    <row r="28" spans="1:7">
      <c r="A28" t="str">
        <f>Break!A28</f>
        <v>Hyd_Deepika Nigam (1008538)</v>
      </c>
      <c r="B28" t="str">
        <f t="shared" si="0"/>
        <v>Deepika Nigam</v>
      </c>
      <c r="C28" s="12">
        <f>TIMEVALUE(VLOOKUP(A28,E_Data,2,0))</f>
        <v>0.34512731481481485</v>
      </c>
      <c r="D28" s="12">
        <f>TIMEVALUE(VLOOKUP(A28,E_Data,3,0))</f>
        <v>0.20607638888888888</v>
      </c>
      <c r="E28" s="12">
        <f>TIMEVALUE(VLOOKUP(A28,BData,9,0))</f>
        <v>4.9768518518518517E-2</v>
      </c>
      <c r="F28">
        <f>VLOOKUP(A28,PData,2,0)</f>
        <v>71</v>
      </c>
      <c r="G28" s="13">
        <f>VLOOKUP(A28,E_Data,6,0)</f>
        <v>0.55001844461584903</v>
      </c>
    </row>
    <row r="29" spans="1:7">
      <c r="A29" t="str">
        <f>Break!A29</f>
        <v>Hyd_Dinesh Kumar (1008539)</v>
      </c>
      <c r="B29" t="str">
        <f t="shared" si="0"/>
        <v>Dinesh Kumar</v>
      </c>
      <c r="C29" s="12">
        <f>TIMEVALUE(VLOOKUP(A29,E_Data,2,0))</f>
        <v>0.34297453703703701</v>
      </c>
      <c r="D29" s="12">
        <f>TIMEVALUE(VLOOKUP(A29,E_Data,3,0))</f>
        <v>0.21273148148148147</v>
      </c>
      <c r="E29" s="12">
        <f>TIMEVALUE(VLOOKUP(A29,BData,9,0))</f>
        <v>4.8645833333333333E-2</v>
      </c>
      <c r="F29">
        <f>VLOOKUP(A29,PData,2,0)</f>
        <v>70</v>
      </c>
      <c r="G29" s="13">
        <f>VLOOKUP(A29,E_Data,6,0)</f>
        <v>0.51334660682347399</v>
      </c>
    </row>
    <row r="30" spans="1:7">
      <c r="A30" t="str">
        <f>Break!A30</f>
        <v>Hyd_Hari Kumar (1008540)</v>
      </c>
      <c r="B30" t="str">
        <f>MID(A30,FIND("_",A30,1)+1,FIND("(",A30,1)-FIND("_",A30,1)-2)</f>
        <v>Hari Kumar</v>
      </c>
      <c r="C30" s="12">
        <f>TIMEVALUE(VLOOKUP(A30,E_Data,2,0))</f>
        <v>0.34387731481481482</v>
      </c>
      <c r="D30" s="12">
        <f>TIMEVALUE(VLOOKUP(A30,E_Data,3,0))</f>
        <v>0.17480324074074075</v>
      </c>
      <c r="E30" s="12">
        <f>TIMEVALUE(VLOOKUP(A30,BData,9,0))</f>
        <v>0.11449074074074074</v>
      </c>
      <c r="F30">
        <f>VLOOKUP(A30,PData,2,0)</f>
        <v>69</v>
      </c>
      <c r="G30" s="13">
        <f>VLOOKUP(A30,E_Data,6,0)</f>
        <v>0.43603379219817601</v>
      </c>
    </row>
    <row r="31" spans="1:7">
      <c r="A31" t="str">
        <f>Break!A31</f>
        <v>Hyd_Heeramani Choudhary (1008541)</v>
      </c>
      <c r="B31" t="str">
        <f t="shared" si="0"/>
        <v>Heeramani Choudhary</v>
      </c>
      <c r="C31" s="12">
        <f>TIMEVALUE(VLOOKUP(A31,E_Data,2,0))</f>
        <v>0.31069444444444444</v>
      </c>
      <c r="D31" s="12">
        <f>TIMEVALUE(VLOOKUP(A31,E_Data,3,0))</f>
        <v>0.1912962962962963</v>
      </c>
      <c r="E31" s="12">
        <f>TIMEVALUE(VLOOKUP(A31,BData,9,0))</f>
        <v>5.5787037037037031E-2</v>
      </c>
      <c r="F31">
        <f>VLOOKUP(A31,PData,2,0)</f>
        <v>68</v>
      </c>
      <c r="G31" s="13">
        <f>VLOOKUP(A31,E_Data,6,0)</f>
        <v>0.52954105200417201</v>
      </c>
    </row>
    <row r="32" spans="1:7">
      <c r="A32" t="str">
        <f>Break!A32</f>
        <v>Hyd_Indra Pal (1008542)</v>
      </c>
      <c r="B32" t="str">
        <f t="shared" si="0"/>
        <v>Indra Pal</v>
      </c>
      <c r="C32" s="12">
        <f>TIMEVALUE(VLOOKUP(A32,E_Data,2,0))</f>
        <v>0.33329861111111109</v>
      </c>
      <c r="D32" s="12">
        <f>TIMEVALUE(VLOOKUP(A32,E_Data,3,0))</f>
        <v>0.21824074074074074</v>
      </c>
      <c r="E32" s="12">
        <f>TIMEVALUE(VLOOKUP(A32,BData,9,0))</f>
        <v>4.809027777777778E-2</v>
      </c>
      <c r="F32">
        <f>VLOOKUP(A32,PData,2,0)</f>
        <v>67</v>
      </c>
      <c r="G32" s="13">
        <f>VLOOKUP(A32,E_Data,6,0)</f>
        <v>0.56446852102649603</v>
      </c>
    </row>
    <row r="33" spans="1:7">
      <c r="A33" t="str">
        <f>Break!A33</f>
        <v>Hyd_Indra Singh (1008543)</v>
      </c>
      <c r="B33" t="str">
        <f t="shared" si="0"/>
        <v>Indra Singh</v>
      </c>
      <c r="C33" s="12">
        <f>TIMEVALUE(VLOOKUP(A33,E_Data,2,0))</f>
        <v>0.34564814814814815</v>
      </c>
      <c r="D33" s="12">
        <f>TIMEVALUE(VLOOKUP(A33,E_Data,3,0))</f>
        <v>0.21184027777777778</v>
      </c>
      <c r="E33" s="12">
        <f>TIMEVALUE(VLOOKUP(A33,BData,9,0))</f>
        <v>8.9745370370370378E-2</v>
      </c>
      <c r="F33">
        <f>VLOOKUP(A33,PData,2,0)</f>
        <v>66</v>
      </c>
      <c r="G33" s="13">
        <f>VLOOKUP(A33,E_Data,6,0)</f>
        <v>0.49789043664612898</v>
      </c>
    </row>
    <row r="34" spans="1:7">
      <c r="A34" t="str">
        <f>Break!A34</f>
        <v>Hyd_Jagdish Chandra (1008544)</v>
      </c>
      <c r="B34" t="str">
        <f t="shared" si="0"/>
        <v>Jagdish Chandra</v>
      </c>
      <c r="C34" s="12">
        <f>TIMEVALUE(VLOOKUP(A34,E_Data,2,0))</f>
        <v>0.34664351851851855</v>
      </c>
      <c r="D34" s="12">
        <f>TIMEVALUE(VLOOKUP(A34,E_Data,3,0))</f>
        <v>0.20781249999999998</v>
      </c>
      <c r="E34" s="12">
        <f>TIMEVALUE(VLOOKUP(A34,BData,9,0))</f>
        <v>4.7951388888888891E-2</v>
      </c>
      <c r="F34">
        <f>VLOOKUP(A34,PData,2,0)</f>
        <v>65</v>
      </c>
      <c r="G34" s="13">
        <f>VLOOKUP(A34,E_Data,6,0)</f>
        <v>0.56270450751252099</v>
      </c>
    </row>
    <row r="35" spans="1:7">
      <c r="A35" t="str">
        <f>Break!A35</f>
        <v>Hyd_Jairaj Vatham (1008545)</v>
      </c>
      <c r="B35" t="str">
        <f t="shared" si="0"/>
        <v>Jairaj Vatham</v>
      </c>
      <c r="C35" s="12">
        <f>TIMEVALUE(VLOOKUP(A35,E_Data,2,0))</f>
        <v>0.34471064814814811</v>
      </c>
      <c r="D35" s="12">
        <f>TIMEVALUE(VLOOKUP(A35,E_Data,3,0))</f>
        <v>0.20981481481481482</v>
      </c>
      <c r="E35" s="12">
        <f>TIMEVALUE(VLOOKUP(A35,BData,9,0))</f>
        <v>4.8564814814814818E-2</v>
      </c>
      <c r="F35">
        <f>VLOOKUP(A35,PData,2,0)</f>
        <v>64</v>
      </c>
      <c r="G35" s="13">
        <f>VLOOKUP(A35,E_Data,6,0)</f>
        <v>0.57680556021891705</v>
      </c>
    </row>
    <row r="36" spans="1:7">
      <c r="A36" t="str">
        <f>Break!A36</f>
        <v>Hyd_Janardan Mishra (1008546)</v>
      </c>
      <c r="B36" t="str">
        <f t="shared" si="0"/>
        <v>Janardan Mishra</v>
      </c>
      <c r="C36" s="12">
        <f>TIMEVALUE(VLOOKUP(A36,E_Data,2,0))</f>
        <v>0.31923611111111111</v>
      </c>
      <c r="D36" s="12">
        <f>TIMEVALUE(VLOOKUP(A36,E_Data,3,0))</f>
        <v>0.18953703703703703</v>
      </c>
      <c r="E36" s="12">
        <f>TIMEVALUE(VLOOKUP(A36,BData,9,0))</f>
        <v>6.1215277777777778E-2</v>
      </c>
      <c r="F36">
        <f>VLOOKUP(A36,PData,2,0)</f>
        <v>63</v>
      </c>
      <c r="G36" s="13">
        <f>VLOOKUP(A36,E_Data,6,0)</f>
        <v>0.55728373576970502</v>
      </c>
    </row>
    <row r="37" spans="1:7">
      <c r="A37" t="str">
        <f>Break!A37</f>
        <v>Hyd_Jitendra Kumar (1008547)</v>
      </c>
      <c r="B37" t="str">
        <f t="shared" si="0"/>
        <v>Jitendra Kumar</v>
      </c>
      <c r="C37" s="12">
        <f>TIMEVALUE(VLOOKUP(A37,E_Data,2,0))</f>
        <v>0.34128472222222223</v>
      </c>
      <c r="D37" s="12">
        <f>TIMEVALUE(VLOOKUP(A37,E_Data,3,0))</f>
        <v>0.17200231481481479</v>
      </c>
      <c r="E37" s="12">
        <f>TIMEVALUE(VLOOKUP(A37,BData,9,0))</f>
        <v>0.10777777777777779</v>
      </c>
      <c r="F37">
        <f>VLOOKUP(A37,PData,2,0)</f>
        <v>62</v>
      </c>
      <c r="G37" s="13">
        <f>VLOOKUP(A37,E_Data,6,0)</f>
        <v>0.47590463594126198</v>
      </c>
    </row>
    <row r="38" spans="1:7">
      <c r="A38" t="str">
        <f>Break!A38</f>
        <v>Hyd_John D'Costa (1008548)</v>
      </c>
      <c r="B38" t="str">
        <f t="shared" si="0"/>
        <v>John D'Costa</v>
      </c>
      <c r="C38" s="12">
        <f>TIMEVALUE(VLOOKUP(A38,E_Data,2,0))</f>
        <v>0.34012731481481479</v>
      </c>
      <c r="D38" s="12">
        <f>TIMEVALUE(VLOOKUP(A38,E_Data,3,0))</f>
        <v>0.20243055555555556</v>
      </c>
      <c r="E38" s="12">
        <f>TIMEVALUE(VLOOKUP(A38,BData,9,0))</f>
        <v>4.8333333333333332E-2</v>
      </c>
      <c r="F38">
        <f>VLOOKUP(A38,PData,2,0)</f>
        <v>61</v>
      </c>
      <c r="G38" s="13">
        <f>VLOOKUP(A38,E_Data,6,0)</f>
        <v>0.55636846224520997</v>
      </c>
    </row>
    <row r="39" spans="1:7">
      <c r="A39" t="str">
        <f>Break!A39</f>
        <v>Hyd_Julie S (1008549)</v>
      </c>
      <c r="B39" t="str">
        <f t="shared" si="0"/>
        <v>Julie S</v>
      </c>
      <c r="C39" s="12">
        <f>TIMEVALUE(VLOOKUP(A39,E_Data,2,0))</f>
        <v>0.3442824074074074</v>
      </c>
      <c r="D39" s="12">
        <f>TIMEVALUE(VLOOKUP(A39,E_Data,3,0))</f>
        <v>0.20569444444444443</v>
      </c>
      <c r="E39" s="12">
        <f>TIMEVALUE(VLOOKUP(A39,BData,9,0))</f>
        <v>4.912037037037037E-2</v>
      </c>
      <c r="F39">
        <f>VLOOKUP(A39,PData,2,0)</f>
        <v>60</v>
      </c>
      <c r="G39" s="13">
        <f>VLOOKUP(A39,E_Data,6,0)</f>
        <v>0.527970147246689</v>
      </c>
    </row>
    <row r="40" spans="1:7">
      <c r="A40" t="str">
        <f>Break!A40</f>
        <v>Hyd_Jyoti Tulsani (1008550)</v>
      </c>
      <c r="B40" t="str">
        <f t="shared" si="0"/>
        <v>Jyoti Tulsani</v>
      </c>
      <c r="C40" s="12">
        <f>TIMEVALUE(VLOOKUP(A40,E_Data,2,0))</f>
        <v>0.3439699074074074</v>
      </c>
      <c r="D40" s="12">
        <f>TIMEVALUE(VLOOKUP(A40,E_Data,3,0))</f>
        <v>0.20620370370370369</v>
      </c>
      <c r="E40" s="12">
        <f>TIMEVALUE(VLOOKUP(A40,BData,9,0))</f>
        <v>4.8923611111111105E-2</v>
      </c>
      <c r="F40">
        <f>VLOOKUP(A40,PData,2,0)</f>
        <v>59</v>
      </c>
      <c r="G40" s="13">
        <f>VLOOKUP(A40,E_Data,6,0)</f>
        <v>0.565025741108382</v>
      </c>
    </row>
    <row r="41" spans="1:7">
      <c r="A41" t="str">
        <f>Break!A41</f>
        <v>Hyd_Kahkasha Parveen (1008551)</v>
      </c>
      <c r="B41" t="str">
        <f t="shared" si="0"/>
        <v>Kahkasha Parveen</v>
      </c>
      <c r="C41" s="12">
        <f>TIMEVALUE(VLOOKUP(A41,E_Data,2,0))</f>
        <v>0.34541666666666665</v>
      </c>
      <c r="D41" s="12">
        <f>TIMEVALUE(VLOOKUP(A41,E_Data,3,0))</f>
        <v>0.22590277777777779</v>
      </c>
      <c r="E41" s="12">
        <f>TIMEVALUE(VLOOKUP(A41,BData,9,0))</f>
        <v>4.8749999999999995E-2</v>
      </c>
      <c r="F41">
        <f>VLOOKUP(A41,PData,2,0)</f>
        <v>58</v>
      </c>
      <c r="G41" s="13">
        <f>VLOOKUP(A41,E_Data,6,0)</f>
        <v>0.48579278917035301</v>
      </c>
    </row>
    <row r="42" spans="1:7">
      <c r="A42" t="str">
        <f>Break!A42</f>
        <v>Hyd_Kailash Nath (1008552)</v>
      </c>
      <c r="B42" t="str">
        <f t="shared" si="0"/>
        <v>Kailash Nath</v>
      </c>
      <c r="C42" s="12">
        <f>TIMEVALUE(VLOOKUP(A42,E_Data,2,0))</f>
        <v>0.34445601851851854</v>
      </c>
      <c r="D42" s="12">
        <f>TIMEVALUE(VLOOKUP(A42,E_Data,3,0))</f>
        <v>0.20725694444444445</v>
      </c>
      <c r="E42" s="12">
        <f>TIMEVALUE(VLOOKUP(A42,BData,9,0))</f>
        <v>4.6990740740740743E-2</v>
      </c>
      <c r="F42">
        <f>VLOOKUP(A42,PData,2,0)</f>
        <v>57</v>
      </c>
      <c r="G42" s="13">
        <f>VLOOKUP(A42,E_Data,6,0)</f>
        <v>0.572258996673499</v>
      </c>
    </row>
    <row r="43" spans="1:7">
      <c r="A43" t="str">
        <f>Break!A43</f>
        <v>Hyd_Kalpana Agrawal (1008553)</v>
      </c>
      <c r="B43" t="str">
        <f t="shared" si="0"/>
        <v>Kalpana Agrawal</v>
      </c>
      <c r="C43" s="12">
        <f>TIMEVALUE(VLOOKUP(A43,E_Data,2,0))</f>
        <v>0.33342592592592596</v>
      </c>
      <c r="D43" s="12">
        <f>TIMEVALUE(VLOOKUP(A43,E_Data,3,0))</f>
        <v>0.16271990740740741</v>
      </c>
      <c r="E43" s="12">
        <f>TIMEVALUE(VLOOKUP(A43,BData,9,0))</f>
        <v>0.10062500000000001</v>
      </c>
      <c r="F43">
        <f>VLOOKUP(A43,PData,2,0)</f>
        <v>56</v>
      </c>
      <c r="G43" s="13">
        <f>VLOOKUP(A43,E_Data,6,0)</f>
        <v>0.46542627048042201</v>
      </c>
    </row>
    <row r="44" spans="1:7">
      <c r="A44" t="str">
        <f>Break!A44</f>
        <v>Hyd_Kamini Kumar (1008554)</v>
      </c>
      <c r="B44" t="str">
        <f>MID(A44,FIND("_",A44,1)+1,FIND("(",A44,1)-FIND("_",A44,1)-2)</f>
        <v>Kamini Kumar</v>
      </c>
      <c r="C44" s="12">
        <f>TIMEVALUE(VLOOKUP(A44,E_Data,2,0))</f>
        <v>0.2094560185185185</v>
      </c>
      <c r="D44" s="12">
        <f>TIMEVALUE(VLOOKUP(A44,E_Data,3,0))</f>
        <v>0.13993055555555556</v>
      </c>
      <c r="E44" s="12">
        <f>TIMEVALUE(VLOOKUP(A44,BData,9,0))</f>
        <v>1.0416666666666666E-2</v>
      </c>
      <c r="F44">
        <f>VLOOKUP(A44,PData,2,0)</f>
        <v>55</v>
      </c>
      <c r="G44" s="13">
        <f>VLOOKUP(A44,E_Data,6,0)</f>
        <v>0.64380836602751801</v>
      </c>
    </row>
    <row r="45" spans="1:7">
      <c r="A45" t="str">
        <f>Break!A45</f>
        <v>Hyd_Kamini Tiwari (1008555)</v>
      </c>
      <c r="B45" t="str">
        <f t="shared" si="0"/>
        <v>Kamini Tiwari</v>
      </c>
      <c r="C45" s="12">
        <f>TIMEVALUE(VLOOKUP(A45,E_Data,2,0))</f>
        <v>0.35192129629629632</v>
      </c>
      <c r="D45" s="12">
        <f>TIMEVALUE(VLOOKUP(A45,E_Data,3,0))</f>
        <v>0.22140046296296298</v>
      </c>
      <c r="E45" s="12">
        <f>TIMEVALUE(VLOOKUP(A45,BData,9,0))</f>
        <v>4.8437500000000001E-2</v>
      </c>
      <c r="F45">
        <f>VLOOKUP(A45,PData,2,0)</f>
        <v>54</v>
      </c>
      <c r="G45" s="13">
        <f>VLOOKUP(A45,E_Data,6,0)</f>
        <v>0.57347234098533195</v>
      </c>
    </row>
    <row r="46" spans="1:7">
      <c r="A46" t="str">
        <f>Break!A46</f>
        <v>Hyd_Kavita Sharma (1008556)</v>
      </c>
      <c r="B46" t="str">
        <f t="shared" si="0"/>
        <v>Kavita Sharma</v>
      </c>
      <c r="C46" s="12">
        <f>TIMEVALUE(VLOOKUP(A46,E_Data,2,0))</f>
        <v>0.32876157407407408</v>
      </c>
      <c r="D46" s="12">
        <f>TIMEVALUE(VLOOKUP(A46,E_Data,3,0))</f>
        <v>0.22660879629629629</v>
      </c>
      <c r="E46" s="12">
        <f>TIMEVALUE(VLOOKUP(A46,BData,9,0))</f>
        <v>3.9108796296296301E-2</v>
      </c>
      <c r="F46">
        <f>VLOOKUP(A46,PData,2,0)</f>
        <v>53</v>
      </c>
      <c r="G46" s="13">
        <f>VLOOKUP(A46,E_Data,6,0)</f>
        <v>0.64717479317021698</v>
      </c>
    </row>
    <row r="47" spans="1:7">
      <c r="A47" t="str">
        <f>Break!A47</f>
        <v>Hyd_Kiran Khubchandani (1008557)</v>
      </c>
      <c r="B47" t="str">
        <f t="shared" si="0"/>
        <v>Kiran Khubchandani</v>
      </c>
      <c r="C47" s="12">
        <f>TIMEVALUE(VLOOKUP(A47,E_Data,2,0))</f>
        <v>0.33435185185185184</v>
      </c>
      <c r="D47" s="12">
        <f>TIMEVALUE(VLOOKUP(A47,E_Data,3,0))</f>
        <v>0.17586805555555554</v>
      </c>
      <c r="E47" s="12">
        <f>TIMEVALUE(VLOOKUP(A47,BData,9,0))</f>
        <v>9.0555555555555556E-2</v>
      </c>
      <c r="F47">
        <f>VLOOKUP(A47,PData,2,0)</f>
        <v>52</v>
      </c>
      <c r="G47" s="13">
        <f>VLOOKUP(A47,E_Data,6,0)</f>
        <v>0.50443090556632497</v>
      </c>
    </row>
    <row r="48" spans="1:7">
      <c r="A48" t="str">
        <f>Break!A48</f>
        <v>Hyd_Kisun Sah (1008558)</v>
      </c>
      <c r="B48" t="str">
        <f t="shared" si="0"/>
        <v>Kisun Sah</v>
      </c>
      <c r="C48" s="12">
        <f>TIMEVALUE(VLOOKUP(A48,E_Data,2,0))</f>
        <v>0.34831018518518514</v>
      </c>
      <c r="D48" s="12">
        <f>TIMEVALUE(VLOOKUP(A48,E_Data,3,0))</f>
        <v>0.21436342592592594</v>
      </c>
      <c r="E48" s="12">
        <f>TIMEVALUE(VLOOKUP(A48,BData,9,0))</f>
        <v>4.8240740740740744E-2</v>
      </c>
      <c r="F48">
        <f>VLOOKUP(A48,PData,2,0)</f>
        <v>51</v>
      </c>
      <c r="G48" s="13">
        <f>VLOOKUP(A48,E_Data,6,0)</f>
        <v>0.55280122283511701</v>
      </c>
    </row>
    <row r="49" spans="1:7">
      <c r="A49" t="str">
        <f>Break!A49</f>
        <v>Hyd_Krishana Kumar (1008559)</v>
      </c>
      <c r="B49" t="str">
        <f t="shared" si="0"/>
        <v>Krishana Kumar</v>
      </c>
      <c r="C49" s="12">
        <f>TIMEVALUE(VLOOKUP(A49,E_Data,2,0))</f>
        <v>0.34407407407407403</v>
      </c>
      <c r="D49" s="12">
        <f>TIMEVALUE(VLOOKUP(A49,E_Data,3,0))</f>
        <v>0.19798611111111111</v>
      </c>
      <c r="E49" s="12">
        <f>TIMEVALUE(VLOOKUP(A49,BData,9,0))</f>
        <v>4.8437500000000001E-2</v>
      </c>
      <c r="F49">
        <f>VLOOKUP(A49,PData,2,0)</f>
        <v>50</v>
      </c>
      <c r="G49" s="13">
        <f>VLOOKUP(A49,E_Data,6,0)</f>
        <v>0.55493137782561897</v>
      </c>
    </row>
    <row r="50" spans="1:7">
      <c r="A50" t="str">
        <f>Break!A50</f>
        <v>Hyd_Kunj Bihari (1008560)</v>
      </c>
      <c r="B50" t="str">
        <f t="shared" si="0"/>
        <v>Kunj Bihari</v>
      </c>
      <c r="C50" s="12">
        <f>TIMEVALUE(VLOOKUP(A50,E_Data,2,0))</f>
        <v>0.33285879629629628</v>
      </c>
      <c r="D50" s="12">
        <f>TIMEVALUE(VLOOKUP(A50,E_Data,3,0))</f>
        <v>0.19598379629629628</v>
      </c>
      <c r="E50" s="12">
        <f>TIMEVALUE(VLOOKUP(A50,BData,9,0))</f>
        <v>4.8738425925925921E-2</v>
      </c>
      <c r="F50">
        <f>VLOOKUP(A50,PData,2,0)</f>
        <v>49</v>
      </c>
      <c r="G50" s="13">
        <f>VLOOKUP(A50,E_Data,6,0)</f>
        <v>0.55217497131332804</v>
      </c>
    </row>
    <row r="51" spans="1:7">
      <c r="A51" t="str">
        <f>Break!A51</f>
        <v>Hyd_Leena George (1008561)</v>
      </c>
      <c r="B51" t="str">
        <f t="shared" si="0"/>
        <v>Leena George</v>
      </c>
      <c r="C51" s="12">
        <f>TIMEVALUE(VLOOKUP(A51,E_Data,2,0))</f>
        <v>0.20570601851851852</v>
      </c>
      <c r="D51" s="12">
        <f>TIMEVALUE(VLOOKUP(A51,E_Data,3,0))</f>
        <v>0.13252314814814814</v>
      </c>
      <c r="E51" s="12">
        <f>TIMEVALUE(VLOOKUP(A51,BData,9,0))</f>
        <v>1.2615740740740742E-2</v>
      </c>
      <c r="F51">
        <f>VLOOKUP(A51,PData,2,0)</f>
        <v>48</v>
      </c>
      <c r="G51" s="13">
        <f>VLOOKUP(A51,E_Data,6,0)</f>
        <v>0.58819557756147001</v>
      </c>
    </row>
    <row r="52" spans="1:7">
      <c r="A52" t="str">
        <f>Break!A52</f>
        <v>Hyd_Lilly Lucy (1008562)</v>
      </c>
      <c r="B52" t="str">
        <f t="shared" si="0"/>
        <v>Lilly Lucy</v>
      </c>
      <c r="C52" s="12">
        <f>TIMEVALUE(VLOOKUP(A52,E_Data,2,0))</f>
        <v>0.32318287037037036</v>
      </c>
      <c r="D52" s="12">
        <f>TIMEVALUE(VLOOKUP(A52,E_Data,3,0))</f>
        <v>0.19381944444444443</v>
      </c>
      <c r="E52" s="12">
        <f>TIMEVALUE(VLOOKUP(A52,BData,9,0))</f>
        <v>5.1898148148148145E-2</v>
      </c>
      <c r="F52">
        <f>VLOOKUP(A52,PData,2,0)</f>
        <v>47</v>
      </c>
      <c r="G52" s="13">
        <f>VLOOKUP(A52,E_Data,6,0)</f>
        <v>0.55534863732407003</v>
      </c>
    </row>
    <row r="53" spans="1:7">
      <c r="A53" t="str">
        <f>Break!A53</f>
        <v>Hyd_Mangal Singh (1008563)</v>
      </c>
      <c r="B53" t="str">
        <f t="shared" si="0"/>
        <v>Mangal Singh</v>
      </c>
      <c r="C53" s="12">
        <f>TIMEVALUE(VLOOKUP(A53,E_Data,2,0))</f>
        <v>0.33348379629629626</v>
      </c>
      <c r="D53" s="12">
        <f>TIMEVALUE(VLOOKUP(A53,E_Data,3,0))</f>
        <v>0.19890046296296296</v>
      </c>
      <c r="E53" s="12">
        <f>TIMEVALUE(VLOOKUP(A53,BData,9,0))</f>
        <v>4.8657407407407406E-2</v>
      </c>
      <c r="F53">
        <f>VLOOKUP(A53,PData,2,0)</f>
        <v>46</v>
      </c>
      <c r="G53" s="13">
        <f>VLOOKUP(A53,E_Data,6,0)</f>
        <v>0.55815083469267301</v>
      </c>
    </row>
    <row r="54" spans="1:7">
      <c r="A54" t="str">
        <f>Break!A54</f>
        <v>Hyd_Manisha Shrivastava (1008564)</v>
      </c>
      <c r="B54" t="str">
        <f t="shared" si="0"/>
        <v>Manisha Shrivastava</v>
      </c>
      <c r="C54" s="12">
        <f>TIMEVALUE(VLOOKUP(A54,E_Data,2,0))</f>
        <v>0.34015046296296297</v>
      </c>
      <c r="D54" s="12">
        <f>TIMEVALUE(VLOOKUP(A54,E_Data,3,0))</f>
        <v>0.20222222222222222</v>
      </c>
      <c r="E54" s="12">
        <f>TIMEVALUE(VLOOKUP(A54,BData,9,0))</f>
        <v>4.8715277777777781E-2</v>
      </c>
      <c r="F54">
        <f>VLOOKUP(A54,PData,2,0)</f>
        <v>45</v>
      </c>
      <c r="G54" s="13">
        <f>VLOOKUP(A54,E_Data,6,0)</f>
        <v>0.53002824185919895</v>
      </c>
    </row>
    <row r="55" spans="1:7">
      <c r="A55" t="str">
        <f>Break!A55</f>
        <v>Hyd_Manjusha Sinha (1008565)</v>
      </c>
      <c r="B55" t="str">
        <f t="shared" si="0"/>
        <v>Manjusha Sinha</v>
      </c>
      <c r="C55" s="12">
        <f>TIMEVALUE(VLOOKUP(A55,E_Data,2,0))</f>
        <v>0.34311342592592592</v>
      </c>
      <c r="D55" s="12">
        <f>TIMEVALUE(VLOOKUP(A55,E_Data,3,0))</f>
        <v>0.21112268518518518</v>
      </c>
      <c r="E55" s="12">
        <f>TIMEVALUE(VLOOKUP(A55,BData,9,0))</f>
        <v>4.9062500000000002E-2</v>
      </c>
      <c r="F55">
        <f>VLOOKUP(A55,PData,2,0)</f>
        <v>44</v>
      </c>
      <c r="G55" s="13">
        <f>VLOOKUP(A55,E_Data,6,0)</f>
        <v>0.54639905548996504</v>
      </c>
    </row>
    <row r="56" spans="1:7">
      <c r="A56" t="str">
        <f>Break!A56</f>
        <v>Hyd_ManjuTiwari Lab (1008566)</v>
      </c>
      <c r="B56" t="str">
        <f t="shared" si="0"/>
        <v>ManjuTiwari Lab</v>
      </c>
      <c r="C56" s="12">
        <f>TIMEVALUE(VLOOKUP(A56,E_Data,2,0))</f>
        <v>0.32046296296296295</v>
      </c>
      <c r="D56" s="12">
        <f>TIMEVALUE(VLOOKUP(A56,E_Data,3,0))</f>
        <v>0.18484953703703702</v>
      </c>
      <c r="E56" s="12">
        <f>TIMEVALUE(VLOOKUP(A56,BData,9,0))</f>
        <v>4.9143518518518524E-2</v>
      </c>
      <c r="F56">
        <f>VLOOKUP(A56,PData,2,0)</f>
        <v>43</v>
      </c>
      <c r="G56" s="13">
        <f>VLOOKUP(A56,E_Data,6,0)</f>
        <v>0.52849609939323905</v>
      </c>
    </row>
    <row r="57" spans="1:7">
      <c r="A57" t="str">
        <f>Break!A57</f>
        <v>Hyd_Manoj Kumar (1008567)</v>
      </c>
      <c r="B57" t="str">
        <f t="shared" si="0"/>
        <v>Manoj Kumar</v>
      </c>
      <c r="C57" s="12">
        <f>TIMEVALUE(VLOOKUP(A57,E_Data,2,0))</f>
        <v>0.33384259259259258</v>
      </c>
      <c r="D57" s="12">
        <f>TIMEVALUE(VLOOKUP(A57,E_Data,3,0))</f>
        <v>0.1867824074074074</v>
      </c>
      <c r="E57" s="12">
        <f>TIMEVALUE(VLOOKUP(A57,BData,9,0))</f>
        <v>4.853009259259259E-2</v>
      </c>
      <c r="F57">
        <f>VLOOKUP(A57,PData,2,0)</f>
        <v>42</v>
      </c>
      <c r="G57" s="13">
        <f>VLOOKUP(A57,E_Data,6,0)</f>
        <v>0.53279711551795905</v>
      </c>
    </row>
    <row r="58" spans="1:7">
      <c r="A58" t="str">
        <f>Break!A58</f>
        <v>Hyd_Manoj Kumar (1008568)</v>
      </c>
      <c r="B58" t="str">
        <f t="shared" si="0"/>
        <v>Manoj Kumar</v>
      </c>
      <c r="C58" s="12">
        <f>TIMEVALUE(VLOOKUP(A58,E_Data,2,0))</f>
        <v>0.33012731481481478</v>
      </c>
      <c r="D58" s="12">
        <f>TIMEVALUE(VLOOKUP(A58,E_Data,3,0))</f>
        <v>0.18739583333333332</v>
      </c>
      <c r="E58" s="12">
        <f>TIMEVALUE(VLOOKUP(A58,BData,9,0))</f>
        <v>5.2766203703703697E-2</v>
      </c>
      <c r="F58">
        <f>VLOOKUP(A58,PData,2,0)</f>
        <v>41</v>
      </c>
      <c r="G58" s="13">
        <f>VLOOKUP(A58,E_Data,6,0)</f>
        <v>0.53150089401535605</v>
      </c>
    </row>
    <row r="59" spans="1:7">
      <c r="A59" t="str">
        <f>Break!A59</f>
        <v>Hyd_Masroor Adil (1008569)</v>
      </c>
      <c r="B59" t="str">
        <f t="shared" si="0"/>
        <v>Masroor Adil</v>
      </c>
      <c r="C59" s="12">
        <f>TIMEVALUE(VLOOKUP(A59,E_Data,2,0))</f>
        <v>0.34032407407407406</v>
      </c>
      <c r="D59" s="12">
        <f>TIMEVALUE(VLOOKUP(A59,E_Data,3,0))</f>
        <v>0.21151620370370372</v>
      </c>
      <c r="E59" s="12">
        <f>TIMEVALUE(VLOOKUP(A59,BData,9,0))</f>
        <v>4.9756944444444444E-2</v>
      </c>
      <c r="F59">
        <f>VLOOKUP(A59,PData,2,0)</f>
        <v>40</v>
      </c>
      <c r="G59" s="13">
        <f>VLOOKUP(A59,E_Data,6,0)</f>
        <v>0.58954564004897303</v>
      </c>
    </row>
    <row r="60" spans="1:7">
      <c r="A60" t="str">
        <f>Break!A60</f>
        <v>Hyd_Meena Zinjare (1008570)</v>
      </c>
      <c r="B60" t="str">
        <f t="shared" si="0"/>
        <v>Meena Zinjare</v>
      </c>
      <c r="C60" s="12">
        <f>TIMEVALUE(VLOOKUP(A60,E_Data,2,0))</f>
        <v>0.33714120370370365</v>
      </c>
      <c r="D60" s="12">
        <f>TIMEVALUE(VLOOKUP(A60,E_Data,3,0))</f>
        <v>0.13162037037037036</v>
      </c>
      <c r="E60" s="12">
        <f>TIMEVALUE(VLOOKUP(A60,BData,9,0))</f>
        <v>0.14913194444444444</v>
      </c>
      <c r="F60">
        <f>VLOOKUP(A60,PData,2,0)</f>
        <v>39</v>
      </c>
      <c r="G60" s="13">
        <f>VLOOKUP(A60,E_Data,6,0)</f>
        <v>0.34903360911806097</v>
      </c>
    </row>
    <row r="61" spans="1:7">
      <c r="A61" t="str">
        <f>Break!A61</f>
        <v>Hyd_Mehnaz Khan (1008571)</v>
      </c>
      <c r="B61" t="str">
        <f t="shared" si="0"/>
        <v>Mehnaz Khan</v>
      </c>
      <c r="C61" s="12">
        <f>TIMEVALUE(VLOOKUP(A61,E_Data,2,0))</f>
        <v>0.34364583333333337</v>
      </c>
      <c r="D61" s="12">
        <f>TIMEVALUE(VLOOKUP(A61,E_Data,3,0))</f>
        <v>0.17246527777777776</v>
      </c>
      <c r="E61" s="12">
        <f>TIMEVALUE(VLOOKUP(A61,BData,9,0))</f>
        <v>9.194444444444444E-2</v>
      </c>
      <c r="F61">
        <f>VLOOKUP(A61,PData,2,0)</f>
        <v>38</v>
      </c>
      <c r="G61" s="13">
        <f>VLOOKUP(A61,E_Data,6,0)</f>
        <v>0.47933717288067101</v>
      </c>
    </row>
    <row r="62" spans="1:7">
      <c r="A62" t="str">
        <f>Break!A62</f>
        <v>Hyd_Mercy Thampi (1008572)</v>
      </c>
      <c r="B62" t="str">
        <f t="shared" si="0"/>
        <v>Mercy Thampi</v>
      </c>
      <c r="C62" s="12">
        <f>TIMEVALUE(VLOOKUP(A62,E_Data,2,0))</f>
        <v>0.21915509259259258</v>
      </c>
      <c r="D62" s="12">
        <f>TIMEVALUE(VLOOKUP(A62,E_Data,3,0))</f>
        <v>0.15189814814814814</v>
      </c>
      <c r="E62" s="12">
        <f>TIMEVALUE(VLOOKUP(A62,BData,9,0))</f>
        <v>1.082175925925926E-2</v>
      </c>
      <c r="F62">
        <f>VLOOKUP(A62,PData,2,0)</f>
        <v>37</v>
      </c>
      <c r="G62" s="13">
        <f>VLOOKUP(A62,E_Data,6,0)</f>
        <v>0.62762080802746201</v>
      </c>
    </row>
    <row r="63" spans="1:7">
      <c r="A63" t="str">
        <f>Break!A63</f>
        <v>Hyd_Miny Mole (1008573)</v>
      </c>
      <c r="B63" t="str">
        <f t="shared" si="0"/>
        <v>Miny Mole</v>
      </c>
      <c r="C63" s="12">
        <f>TIMEVALUE(VLOOKUP(A63,E_Data,2,0))</f>
        <v>0.3417824074074074</v>
      </c>
      <c r="D63" s="12">
        <f>TIMEVALUE(VLOOKUP(A63,E_Data,3,0))</f>
        <v>0.17645833333333336</v>
      </c>
      <c r="E63" s="12">
        <f>TIMEVALUE(VLOOKUP(A63,BData,9,0))</f>
        <v>9.2442129629629624E-2</v>
      </c>
      <c r="F63">
        <f>VLOOKUP(A63,PData,2,0)</f>
        <v>36</v>
      </c>
      <c r="G63" s="13">
        <f>VLOOKUP(A63,E_Data,6,0)</f>
        <v>0.47561801557737898</v>
      </c>
    </row>
    <row r="64" spans="1:7">
      <c r="A64" t="str">
        <f>Break!A64</f>
        <v>Hyd_Mohd Rafi (1008574)</v>
      </c>
      <c r="B64" t="str">
        <f t="shared" si="0"/>
        <v>Mohd Rafi</v>
      </c>
      <c r="C64" s="12">
        <f>TIMEVALUE(VLOOKUP(A64,E_Data,2,0))</f>
        <v>0.33370370370370367</v>
      </c>
      <c r="D64" s="12">
        <f>TIMEVALUE(VLOOKUP(A64,E_Data,3,0))</f>
        <v>0.16336805555555556</v>
      </c>
      <c r="E64" s="12">
        <f>TIMEVALUE(VLOOKUP(A64,BData,9,0))</f>
        <v>0.11005787037037036</v>
      </c>
      <c r="F64">
        <f>VLOOKUP(A64,PData,2,0)</f>
        <v>35</v>
      </c>
      <c r="G64" s="13">
        <f>VLOOKUP(A64,E_Data,6,0)</f>
        <v>0.43635543840177599</v>
      </c>
    </row>
    <row r="65" spans="1:7">
      <c r="A65" t="str">
        <f>Break!A65</f>
        <v>Hyd_Mubeen Khan (1008575)</v>
      </c>
      <c r="B65" t="str">
        <f t="shared" si="0"/>
        <v>Mubeen Khan</v>
      </c>
      <c r="C65" s="12">
        <f>TIMEVALUE(VLOOKUP(A65,E_Data,2,0))</f>
        <v>0.33026620370370369</v>
      </c>
      <c r="D65" s="12">
        <f>TIMEVALUE(VLOOKUP(A65,E_Data,3,0))</f>
        <v>0.16021990740740741</v>
      </c>
      <c r="E65" s="12">
        <f>TIMEVALUE(VLOOKUP(A65,BData,9,0))</f>
        <v>0.10043981481481483</v>
      </c>
      <c r="F65">
        <f>VLOOKUP(A65,PData,2,0)</f>
        <v>34</v>
      </c>
      <c r="G65" s="13">
        <f>VLOOKUP(A65,E_Data,6,0)</f>
        <v>0.451270369721395</v>
      </c>
    </row>
    <row r="66" spans="1:7">
      <c r="A66" t="str">
        <f>Break!A66</f>
        <v>Hyd_Mukesh Nagar (1008576)</v>
      </c>
      <c r="B66" t="str">
        <f t="shared" si="0"/>
        <v>Mukesh Nagar</v>
      </c>
      <c r="C66" s="12">
        <f>TIMEVALUE(VLOOKUP(A66,E_Data,2,0))</f>
        <v>0.20910879629629631</v>
      </c>
      <c r="D66" s="12">
        <f>TIMEVALUE(VLOOKUP(A66,E_Data,3,0))</f>
        <v>0.13449074074074074</v>
      </c>
      <c r="E66" s="12">
        <f>TIMEVALUE(VLOOKUP(A66,BData,9,0))</f>
        <v>2.0532407407407405E-2</v>
      </c>
      <c r="F66">
        <f>VLOOKUP(A66,PData,2,0)</f>
        <v>33</v>
      </c>
      <c r="G66" s="13">
        <f>VLOOKUP(A66,E_Data,6,0)</f>
        <v>0.61244257486024201</v>
      </c>
    </row>
    <row r="67" spans="1:7">
      <c r="A67" t="str">
        <f>Break!A67</f>
        <v>Hyd_Nandu Kumar (1008577)</v>
      </c>
      <c r="B67" t="str">
        <f t="shared" ref="B67:B130" si="1">MID(A67,FIND("_",A67,1)+1,FIND("(",A67,1)-FIND("_",A67,1)-2)</f>
        <v>Nandu Kumar</v>
      </c>
      <c r="C67" s="12">
        <f>TIMEVALUE(VLOOKUP(A67,E_Data,2,0))</f>
        <v>0.34836805555555556</v>
      </c>
      <c r="D67" s="12">
        <f>TIMEVALUE(VLOOKUP(A67,E_Data,3,0))</f>
        <v>0.19697916666666668</v>
      </c>
      <c r="E67" s="12">
        <f>TIMEVALUE(VLOOKUP(A67,BData,9,0))</f>
        <v>5.1423611111111107E-2</v>
      </c>
      <c r="F67">
        <f>VLOOKUP(A67,PData,2,0)</f>
        <v>32</v>
      </c>
      <c r="G67" s="13">
        <f>VLOOKUP(A67,E_Data,6,0)</f>
        <v>0.51755872288115901</v>
      </c>
    </row>
    <row r="68" spans="1:7">
      <c r="A68" t="str">
        <f>Break!A68</f>
        <v>Hyd_Narayan Singh (1008578)</v>
      </c>
      <c r="B68" t="str">
        <f t="shared" si="1"/>
        <v>Narayan Singh</v>
      </c>
      <c r="C68" s="12">
        <f>TIMEVALUE(VLOOKUP(A68,E_Data,2,0))</f>
        <v>0.34686342592592595</v>
      </c>
      <c r="D68" s="12">
        <f>TIMEVALUE(VLOOKUP(A68,E_Data,3,0))</f>
        <v>0.2043865740740741</v>
      </c>
      <c r="E68" s="12">
        <f>TIMEVALUE(VLOOKUP(A68,BData,9,0))</f>
        <v>4.7534722222222221E-2</v>
      </c>
      <c r="F68">
        <f>VLOOKUP(A68,PData,2,0)</f>
        <v>31</v>
      </c>
      <c r="G68" s="13">
        <f>VLOOKUP(A68,E_Data,6,0)</f>
        <v>0.55550735760285597</v>
      </c>
    </row>
    <row r="69" spans="1:7">
      <c r="A69" t="str">
        <f>Break!A69</f>
        <v>Hyd_Neeraj Saxena (1008579)</v>
      </c>
      <c r="B69" t="str">
        <f t="shared" si="1"/>
        <v>Neeraj Saxena</v>
      </c>
      <c r="C69" s="12">
        <f>TIMEVALUE(VLOOKUP(A69,E_Data,2,0))</f>
        <v>0.3480671296296296</v>
      </c>
      <c r="D69" s="12">
        <f>TIMEVALUE(VLOOKUP(A69,E_Data,3,0))</f>
        <v>0.19177083333333333</v>
      </c>
      <c r="E69" s="12">
        <f>TIMEVALUE(VLOOKUP(A69,BData,9,0))</f>
        <v>9.3958333333333324E-2</v>
      </c>
      <c r="F69">
        <f>VLOOKUP(A69,PData,2,0)</f>
        <v>30</v>
      </c>
      <c r="G69" s="13">
        <f>VLOOKUP(A69,E_Data,6,0)</f>
        <v>0.45535862734013899</v>
      </c>
    </row>
    <row r="70" spans="1:7">
      <c r="A70" t="str">
        <f>Break!A70</f>
        <v>Hyd_Neeru Mehta (1008580)</v>
      </c>
      <c r="B70" t="str">
        <f t="shared" si="1"/>
        <v>Neeru Mehta</v>
      </c>
      <c r="C70" s="12">
        <f>TIMEVALUE(VLOOKUP(A70,E_Data,2,0))</f>
        <v>0.33495370370370375</v>
      </c>
      <c r="D70" s="12">
        <f>TIMEVALUE(VLOOKUP(A70,E_Data,3,0))</f>
        <v>0.19739583333333333</v>
      </c>
      <c r="E70" s="12">
        <f>TIMEVALUE(VLOOKUP(A70,BData,9,0))</f>
        <v>4.8645833333333333E-2</v>
      </c>
      <c r="F70">
        <f>VLOOKUP(A70,PData,2,0)</f>
        <v>29</v>
      </c>
      <c r="G70" s="13">
        <f>VLOOKUP(A70,E_Data,6,0)</f>
        <v>0.53445058742225304</v>
      </c>
    </row>
    <row r="71" spans="1:7">
      <c r="A71" t="str">
        <f>Break!A71</f>
        <v>Hyd_Nikita Panwalkar (1008581)</v>
      </c>
      <c r="B71" t="str">
        <f t="shared" si="1"/>
        <v>Nikita Panwalkar</v>
      </c>
      <c r="C71" s="12">
        <f>TIMEVALUE(VLOOKUP(A71,E_Data,2,0))</f>
        <v>0.34497685185185184</v>
      </c>
      <c r="D71" s="12">
        <f>TIMEVALUE(VLOOKUP(A71,E_Data,3,0))</f>
        <v>0.20746527777777779</v>
      </c>
      <c r="E71" s="12">
        <f>TIMEVALUE(VLOOKUP(A71,BData,9,0))</f>
        <v>6.7650462962962968E-2</v>
      </c>
      <c r="F71">
        <f>VLOOKUP(A71,PData,2,0)</f>
        <v>28</v>
      </c>
      <c r="G71" s="13">
        <f>VLOOKUP(A71,E_Data,6,0)</f>
        <v>0.55914916459773201</v>
      </c>
    </row>
    <row r="72" spans="1:7">
      <c r="A72" t="str">
        <f>Break!A72</f>
        <v>Hyd_Nitin Bhatia (1008582)</v>
      </c>
      <c r="B72" t="str">
        <f t="shared" si="1"/>
        <v>Nitin Bhatia</v>
      </c>
      <c r="C72" s="12">
        <f>TIMEVALUE(VLOOKUP(A72,E_Data,2,0))</f>
        <v>0.33376157407407409</v>
      </c>
      <c r="D72" s="12">
        <f>TIMEVALUE(VLOOKUP(A72,E_Data,3,0))</f>
        <v>0.19787037037037036</v>
      </c>
      <c r="E72" s="12">
        <f>TIMEVALUE(VLOOKUP(A72,BData,9,0))</f>
        <v>4.853009259259259E-2</v>
      </c>
      <c r="F72">
        <f>VLOOKUP(A72,PData,2,0)</f>
        <v>29</v>
      </c>
      <c r="G72" s="13">
        <f>VLOOKUP(A72,E_Data,6,0)</f>
        <v>0.56847106148351101</v>
      </c>
    </row>
    <row r="73" spans="1:7">
      <c r="A73" t="str">
        <f>Break!A73</f>
        <v>Hyd_Om Prakash (1008583)</v>
      </c>
      <c r="B73" t="str">
        <f t="shared" si="1"/>
        <v>Om Prakash</v>
      </c>
      <c r="C73" s="12">
        <f>TIMEVALUE(VLOOKUP(A73,E_Data,2,0))</f>
        <v>0.33037037037037037</v>
      </c>
      <c r="D73" s="12">
        <f>TIMEVALUE(VLOOKUP(A73,E_Data,3,0))</f>
        <v>0.1849652777777778</v>
      </c>
      <c r="E73" s="12">
        <f>TIMEVALUE(VLOOKUP(A73,BData,9,0))</f>
        <v>6.6701388888888893E-2</v>
      </c>
      <c r="F73">
        <f>VLOOKUP(A73,PData,2,0)</f>
        <v>30</v>
      </c>
      <c r="G73" s="13">
        <f>VLOOKUP(A73,E_Data,6,0)</f>
        <v>0.47509108744394601</v>
      </c>
    </row>
    <row r="74" spans="1:7">
      <c r="A74" t="str">
        <f>Break!A74</f>
        <v>Hyd_Omprakash O (1008584)</v>
      </c>
      <c r="B74" t="str">
        <f t="shared" si="1"/>
        <v>Omprakash O</v>
      </c>
      <c r="C74" s="12">
        <f>TIMEVALUE(VLOOKUP(A74,E_Data,2,0))</f>
        <v>0.34008101851851852</v>
      </c>
      <c r="D74" s="12">
        <f>TIMEVALUE(VLOOKUP(A74,E_Data,3,0))</f>
        <v>0.16811342592592593</v>
      </c>
      <c r="E74" s="12">
        <f>TIMEVALUE(VLOOKUP(A74,BData,9,0))</f>
        <v>9.1597222222222219E-2</v>
      </c>
      <c r="F74">
        <f>VLOOKUP(A74,PData,2,0)</f>
        <v>31</v>
      </c>
      <c r="G74" s="13">
        <f>VLOOKUP(A74,E_Data,6,0)</f>
        <v>0.47578531804104401</v>
      </c>
    </row>
    <row r="75" spans="1:7">
      <c r="A75" t="str">
        <f>Break!A75</f>
        <v>Hyd_Owais Mohd (1008585)</v>
      </c>
      <c r="B75" t="str">
        <f t="shared" si="1"/>
        <v>Owais Mohd</v>
      </c>
      <c r="C75" s="12">
        <f>TIMEVALUE(VLOOKUP(A75,E_Data,2,0))</f>
        <v>0.33415509259259263</v>
      </c>
      <c r="D75" s="12">
        <f>TIMEVALUE(VLOOKUP(A75,E_Data,3,0))</f>
        <v>0.16863425925925926</v>
      </c>
      <c r="E75" s="12">
        <f>TIMEVALUE(VLOOKUP(A75,BData,9,0))</f>
        <v>0.10168981481481482</v>
      </c>
      <c r="F75">
        <f>VLOOKUP(A75,PData,2,0)</f>
        <v>32</v>
      </c>
      <c r="G75" s="13">
        <f>VLOOKUP(A75,E_Data,6,0)</f>
        <v>0.46898271622042897</v>
      </c>
    </row>
    <row r="76" spans="1:7">
      <c r="A76" t="str">
        <f>Break!A76</f>
        <v>Hyd_Pankaj Shelkey (1008586)</v>
      </c>
      <c r="B76" t="str">
        <f t="shared" si="1"/>
        <v>Pankaj Shelkey</v>
      </c>
      <c r="C76" s="12">
        <f>TIMEVALUE(VLOOKUP(A76,E_Data,2,0))</f>
        <v>0.34437500000000004</v>
      </c>
      <c r="D76" s="12">
        <f>TIMEVALUE(VLOOKUP(A76,E_Data,3,0))</f>
        <v>0.18534722222222222</v>
      </c>
      <c r="E76" s="12">
        <f>TIMEVALUE(VLOOKUP(A76,BData,9,0))</f>
        <v>8.0162037037037046E-2</v>
      </c>
      <c r="F76">
        <f>VLOOKUP(A76,PData,2,0)</f>
        <v>33</v>
      </c>
      <c r="G76" s="13">
        <f>VLOOKUP(A76,E_Data,6,0)</f>
        <v>0.51361161524500898</v>
      </c>
    </row>
    <row r="77" spans="1:7">
      <c r="A77" t="str">
        <f>Break!A77</f>
        <v>Hyd_Partha Sarathi (1008587)</v>
      </c>
      <c r="B77" t="str">
        <f t="shared" si="1"/>
        <v>Partha Sarathi</v>
      </c>
      <c r="C77" s="12">
        <f>TIMEVALUE(VLOOKUP(A77,E_Data,2,0))</f>
        <v>0.3558101851851852</v>
      </c>
      <c r="D77" s="12">
        <f>TIMEVALUE(VLOOKUP(A77,E_Data,3,0))</f>
        <v>0.21642361111111111</v>
      </c>
      <c r="E77" s="12">
        <f>TIMEVALUE(VLOOKUP(A77,BData,9,0))</f>
        <v>6.8541666666666667E-2</v>
      </c>
      <c r="F77">
        <f>VLOOKUP(A77,PData,2,0)</f>
        <v>34</v>
      </c>
      <c r="G77" s="13">
        <f>VLOOKUP(A77,E_Data,6,0)</f>
        <v>0.525112224318522</v>
      </c>
    </row>
    <row r="78" spans="1:7">
      <c r="A78" t="str">
        <f>Break!A78</f>
        <v>Hyd_Prabha Desikan (1008588)</v>
      </c>
      <c r="B78" t="str">
        <f t="shared" si="1"/>
        <v>Prabha Desikan</v>
      </c>
      <c r="C78" s="12">
        <f>TIMEVALUE(VLOOKUP(A78,E_Data,2,0))</f>
        <v>0.34848379629629633</v>
      </c>
      <c r="D78" s="12">
        <f>TIMEVALUE(VLOOKUP(A78,E_Data,3,0))</f>
        <v>0.12767361111111111</v>
      </c>
      <c r="E78" s="12">
        <f>TIMEVALUE(VLOOKUP(A78,BData,9,0))</f>
        <v>0.17460648148148147</v>
      </c>
      <c r="F78">
        <f>VLOOKUP(A78,PData,2,0)</f>
        <v>35</v>
      </c>
      <c r="G78" s="13">
        <f>VLOOKUP(A78,E_Data,6,0)</f>
        <v>0.348600086352918</v>
      </c>
    </row>
    <row r="79" spans="1:7">
      <c r="A79" t="str">
        <f>Break!A79</f>
        <v>Hyd_Pramod Tiwari (1008589)</v>
      </c>
      <c r="B79" t="str">
        <f t="shared" si="1"/>
        <v>Pramod Tiwari</v>
      </c>
      <c r="C79" s="12">
        <f>TIMEVALUE(VLOOKUP(A79,E_Data,2,0))</f>
        <v>0.35092592592592592</v>
      </c>
      <c r="D79" s="12">
        <f>TIMEVALUE(VLOOKUP(A79,E_Data,3,0))</f>
        <v>0.12086805555555556</v>
      </c>
      <c r="E79" s="12">
        <f>TIMEVALUE(VLOOKUP(A79,BData,9,0))</f>
        <v>0.18131944444444445</v>
      </c>
      <c r="F79">
        <f>VLOOKUP(A79,PData,2,0)</f>
        <v>36</v>
      </c>
      <c r="G79" s="13">
        <f>VLOOKUP(A79,E_Data,6,0)</f>
        <v>0.314709762532982</v>
      </c>
    </row>
    <row r="80" spans="1:7">
      <c r="A80" t="str">
        <f>Break!A80</f>
        <v>Hyd_Prasannakumari S (1008590)</v>
      </c>
      <c r="B80" t="str">
        <f t="shared" si="1"/>
        <v>Prasannakumari S</v>
      </c>
      <c r="C80" s="12">
        <f>TIMEVALUE(VLOOKUP(A80,E_Data,2,0))</f>
        <v>0.33891203703703704</v>
      </c>
      <c r="D80" s="12">
        <f>TIMEVALUE(VLOOKUP(A80,E_Data,3,0))</f>
        <v>0.21581018518518516</v>
      </c>
      <c r="E80" s="12">
        <f>TIMEVALUE(VLOOKUP(A80,BData,9,0))</f>
        <v>4.8900462962962965E-2</v>
      </c>
      <c r="F80">
        <f>VLOOKUP(A80,PData,2,0)</f>
        <v>37</v>
      </c>
      <c r="G80" s="13">
        <f>VLOOKUP(A80,E_Data,6,0)</f>
        <v>0.55600710333993597</v>
      </c>
    </row>
    <row r="81" spans="1:7">
      <c r="A81" t="str">
        <f>Break!A81</f>
        <v>Hyd_Praveen Kumar (1008591)</v>
      </c>
      <c r="B81" t="str">
        <f t="shared" si="1"/>
        <v>Praveen Kumar</v>
      </c>
      <c r="C81" s="12">
        <f>TIMEVALUE(VLOOKUP(A81,E_Data,2,0))</f>
        <v>0.34675925925925927</v>
      </c>
      <c r="D81" s="12">
        <f>TIMEVALUE(VLOOKUP(A81,E_Data,3,0))</f>
        <v>0.17275462962962962</v>
      </c>
      <c r="E81" s="12">
        <f>TIMEVALUE(VLOOKUP(A81,BData,9,0))</f>
        <v>0.10935185185185185</v>
      </c>
      <c r="F81">
        <f>VLOOKUP(A81,PData,2,0)</f>
        <v>38</v>
      </c>
      <c r="G81" s="13">
        <f>VLOOKUP(A81,E_Data,6,0)</f>
        <v>0.46221628838451301</v>
      </c>
    </row>
    <row r="82" spans="1:7">
      <c r="A82" t="str">
        <f>Break!A82</f>
        <v>Hyd_Rachel Mathew (1008592)</v>
      </c>
      <c r="B82" t="str">
        <f t="shared" si="1"/>
        <v>Rachel Mathew</v>
      </c>
      <c r="C82" s="12">
        <f>TIMEVALUE(VLOOKUP(A82,E_Data,2,0))</f>
        <v>0.3511111111111111</v>
      </c>
      <c r="D82" s="12">
        <f>TIMEVALUE(VLOOKUP(A82,E_Data,3,0))</f>
        <v>0.15339120370370371</v>
      </c>
      <c r="E82" s="12">
        <f>TIMEVALUE(VLOOKUP(A82,BData,9,0))</f>
        <v>0.13890046296296296</v>
      </c>
      <c r="F82">
        <f>VLOOKUP(A82,PData,2,0)</f>
        <v>39</v>
      </c>
      <c r="G82" s="13">
        <f>VLOOKUP(A82,E_Data,6,0)</f>
        <v>0.39075685654008402</v>
      </c>
    </row>
    <row r="83" spans="1:7">
      <c r="A83" t="str">
        <f>Break!A83</f>
        <v>Hyd_Rachita Anupam (1008593)</v>
      </c>
      <c r="B83" t="str">
        <f t="shared" si="1"/>
        <v>Rachita Anupam</v>
      </c>
      <c r="C83" s="12">
        <f>TIMEVALUE(VLOOKUP(A83,E_Data,2,0))</f>
        <v>0.3447453703703704</v>
      </c>
      <c r="D83" s="12">
        <f>TIMEVALUE(VLOOKUP(A83,E_Data,3,0))</f>
        <v>0.21947916666666667</v>
      </c>
      <c r="E83" s="12">
        <f>TIMEVALUE(VLOOKUP(A83,BData,9,0))</f>
        <v>4.7592592592592596E-2</v>
      </c>
      <c r="F83">
        <f>VLOOKUP(A83,PData,2,0)</f>
        <v>40</v>
      </c>
      <c r="G83" s="13">
        <f>VLOOKUP(A83,E_Data,6,0)</f>
        <v>0.54713623850130899</v>
      </c>
    </row>
    <row r="84" spans="1:7">
      <c r="A84" t="str">
        <f>Break!A84</f>
        <v>Hyd_Rachna Chauhan (1008594)</v>
      </c>
      <c r="B84" t="str">
        <f t="shared" si="1"/>
        <v>Rachna Chauhan</v>
      </c>
      <c r="C84" s="12">
        <f>TIMEVALUE(VLOOKUP(A84,E_Data,2,0))</f>
        <v>0.3167476851851852</v>
      </c>
      <c r="D84" s="12">
        <f>TIMEVALUE(VLOOKUP(A84,E_Data,3,0))</f>
        <v>0.21346064814814814</v>
      </c>
      <c r="E84" s="12">
        <f>TIMEVALUE(VLOOKUP(A84,BData,9,0))</f>
        <v>2.1064814814814814E-2</v>
      </c>
      <c r="F84">
        <f>VLOOKUP(A84,PData,2,0)</f>
        <v>41</v>
      </c>
      <c r="G84" s="13">
        <f>VLOOKUP(A84,E_Data,6,0)</f>
        <v>0.61457229509993805</v>
      </c>
    </row>
    <row r="85" spans="1:7">
      <c r="A85" t="str">
        <f>Break!A85</f>
        <v>Hyd_Raj Kumar (1008595)</v>
      </c>
      <c r="B85" t="str">
        <f t="shared" si="1"/>
        <v>Raj Kumar</v>
      </c>
      <c r="C85" s="12">
        <f>TIMEVALUE(VLOOKUP(A85,E_Data,2,0))</f>
        <v>0.34024305555555556</v>
      </c>
      <c r="D85" s="12">
        <f>TIMEVALUE(VLOOKUP(A85,E_Data,3,0))</f>
        <v>0.21100694444444446</v>
      </c>
      <c r="E85" s="12">
        <f>TIMEVALUE(VLOOKUP(A85,BData,9,0))</f>
        <v>4.7731481481481486E-2</v>
      </c>
      <c r="F85">
        <f>VLOOKUP(A85,PData,2,0)</f>
        <v>42</v>
      </c>
      <c r="G85" s="13">
        <f>VLOOKUP(A85,E_Data,6,0)</f>
        <v>0.55335578460387103</v>
      </c>
    </row>
    <row r="86" spans="1:7">
      <c r="A86" t="str">
        <f>Break!A86</f>
        <v>Hyd_Rajeev Garg (1008596)</v>
      </c>
      <c r="B86" t="str">
        <f t="shared" si="1"/>
        <v>Rajeev Garg</v>
      </c>
      <c r="C86" s="12">
        <f>TIMEVALUE(VLOOKUP(A86,E_Data,2,0))</f>
        <v>0.33611111111111108</v>
      </c>
      <c r="D86" s="12">
        <f>TIMEVALUE(VLOOKUP(A86,E_Data,3,0))</f>
        <v>0.21214120370370371</v>
      </c>
      <c r="E86" s="12">
        <f>TIMEVALUE(VLOOKUP(A86,BData,9,0))</f>
        <v>4.7500000000000007E-2</v>
      </c>
      <c r="F86">
        <f>VLOOKUP(A86,PData,2,0)</f>
        <v>43</v>
      </c>
      <c r="G86" s="13">
        <f>VLOOKUP(A86,E_Data,6,0)</f>
        <v>0.611363636363636</v>
      </c>
    </row>
    <row r="87" spans="1:7">
      <c r="A87" t="str">
        <f>Break!A87</f>
        <v>Hyd_Rajeev Kumar (1008597)</v>
      </c>
      <c r="B87" t="str">
        <f t="shared" si="1"/>
        <v>Rajeev Kumar</v>
      </c>
      <c r="C87" s="12">
        <f>TIMEVALUE(VLOOKUP(A87,E_Data,2,0))</f>
        <v>0.3331365740740741</v>
      </c>
      <c r="D87" s="12">
        <f>TIMEVALUE(VLOOKUP(A87,E_Data,3,0))</f>
        <v>0.18670138888888888</v>
      </c>
      <c r="E87" s="12">
        <f>TIMEVALUE(VLOOKUP(A87,BData,9,0))</f>
        <v>6.7430555555555563E-2</v>
      </c>
      <c r="F87">
        <f>VLOOKUP(A87,PData,2,0)</f>
        <v>44</v>
      </c>
      <c r="G87" s="13">
        <f>VLOOKUP(A87,E_Data,6,0)</f>
        <v>0.51217732689434703</v>
      </c>
    </row>
    <row r="88" spans="1:7">
      <c r="A88" t="str">
        <f>Break!A88</f>
        <v>Hyd_Rajendra Gupta (1008598)</v>
      </c>
      <c r="B88" t="str">
        <f t="shared" si="1"/>
        <v>Rajendra Gupta</v>
      </c>
      <c r="C88" s="12">
        <f>TIMEVALUE(VLOOKUP(A88,E_Data,2,0))</f>
        <v>0.35135416666666663</v>
      </c>
      <c r="D88" s="12">
        <f>TIMEVALUE(VLOOKUP(A88,E_Data,3,0))</f>
        <v>0.20708333333333331</v>
      </c>
      <c r="E88" s="12">
        <f>TIMEVALUE(VLOOKUP(A88,BData,9,0))</f>
        <v>5.4953703703703706E-2</v>
      </c>
      <c r="F88">
        <f>VLOOKUP(A88,PData,2,0)</f>
        <v>45</v>
      </c>
      <c r="G88" s="13">
        <f>VLOOKUP(A88,E_Data,6,0)</f>
        <v>0.56029910728991705</v>
      </c>
    </row>
    <row r="89" spans="1:7">
      <c r="A89" t="str">
        <f>Break!A89</f>
        <v>Hyd_Rajendra Kumar (1008599)</v>
      </c>
      <c r="B89" t="str">
        <f t="shared" si="1"/>
        <v>Rajendra Kumar</v>
      </c>
      <c r="C89" s="12">
        <f>TIMEVALUE(VLOOKUP(A89,E_Data,2,0))</f>
        <v>0.34356481481481477</v>
      </c>
      <c r="D89" s="12">
        <f>TIMEVALUE(VLOOKUP(A89,E_Data,3,0))</f>
        <v>0.16344907407407408</v>
      </c>
      <c r="E89" s="12">
        <f>TIMEVALUE(VLOOKUP(A89,BData,9,0))</f>
        <v>0.10712962962962963</v>
      </c>
      <c r="F89">
        <f>VLOOKUP(A89,PData,2,0)</f>
        <v>46</v>
      </c>
      <c r="G89" s="13">
        <f>VLOOKUP(A89,E_Data,6,0)</f>
        <v>0.42891793558819602</v>
      </c>
    </row>
    <row r="90" spans="1:7">
      <c r="A90" t="str">
        <f>Break!A90</f>
        <v>Hyd_Rajendra Prasad (1008600)</v>
      </c>
      <c r="B90" t="str">
        <f t="shared" si="1"/>
        <v>Rajendra Prasad</v>
      </c>
      <c r="C90" s="12">
        <f>TIMEVALUE(VLOOKUP(A90,E_Data,2,0))</f>
        <v>0.34900462962962964</v>
      </c>
      <c r="D90" s="12">
        <f>TIMEVALUE(VLOOKUP(A90,E_Data,3,0))</f>
        <v>3.3715277777777775E-2</v>
      </c>
      <c r="E90" s="12">
        <f>TIMEVALUE(VLOOKUP(A90,BData,9,0))</f>
        <v>0.29744212962962963</v>
      </c>
      <c r="F90">
        <f>VLOOKUP(A90,PData,2,0)</f>
        <v>47</v>
      </c>
      <c r="G90" s="13">
        <f>VLOOKUP(A90,E_Data,6,0)</f>
        <v>9.4547987000066294E-2</v>
      </c>
    </row>
    <row r="91" spans="1:7">
      <c r="A91" t="str">
        <f>Break!A91</f>
        <v>Hyd_Rajesh Kumar (1008601)</v>
      </c>
      <c r="B91" t="str">
        <f t="shared" si="1"/>
        <v>Rajesh Kumar</v>
      </c>
      <c r="C91" s="12">
        <f>TIMEVALUE(VLOOKUP(A91,E_Data,2,0))</f>
        <v>0.33378472222222227</v>
      </c>
      <c r="D91" s="12">
        <f>TIMEVALUE(VLOOKUP(A91,E_Data,3,0))</f>
        <v>0.21655092592592592</v>
      </c>
      <c r="E91" s="12">
        <f>TIMEVALUE(VLOOKUP(A91,BData,9,0))</f>
        <v>5.004629629629629E-2</v>
      </c>
      <c r="F91">
        <f>VLOOKUP(A91,PData,2,0)</f>
        <v>48</v>
      </c>
      <c r="G91" s="13">
        <f>VLOOKUP(A91,E_Data,6,0)</f>
        <v>0.61021533340268397</v>
      </c>
    </row>
    <row r="92" spans="1:7">
      <c r="A92" t="str">
        <f>Break!A92</f>
        <v>Hyd_Rajesh Kumar (1008602)</v>
      </c>
      <c r="B92" t="str">
        <f t="shared" si="1"/>
        <v>Rajesh Kumar</v>
      </c>
      <c r="C92" s="12">
        <f>TIMEVALUE(VLOOKUP(A92,E_Data,2,0))</f>
        <v>0.34559027777777779</v>
      </c>
      <c r="D92" s="12">
        <f>TIMEVALUE(VLOOKUP(A92,E_Data,3,0))</f>
        <v>0.2011574074074074</v>
      </c>
      <c r="E92" s="12">
        <f>TIMEVALUE(VLOOKUP(A92,BData,9,0))</f>
        <v>8.790509259259259E-2</v>
      </c>
      <c r="F92">
        <f>VLOOKUP(A92,PData,2,0)</f>
        <v>49</v>
      </c>
      <c r="G92" s="13">
        <f>VLOOKUP(A92,E_Data,6,0)</f>
        <v>0.51260926353863201</v>
      </c>
    </row>
    <row r="93" spans="1:7">
      <c r="A93" t="str">
        <f>Break!A93</f>
        <v>Hyd_Rajesh Sharma (1008603)</v>
      </c>
      <c r="B93" t="str">
        <f t="shared" si="1"/>
        <v>Rajesh Sharma</v>
      </c>
      <c r="C93" s="12">
        <f>TIMEVALUE(VLOOKUP(A93,E_Data,2,0))</f>
        <v>0.21146990740740743</v>
      </c>
      <c r="D93" s="12">
        <f>TIMEVALUE(VLOOKUP(A93,E_Data,3,0))</f>
        <v>0.14190972222222223</v>
      </c>
      <c r="E93" s="12">
        <f>TIMEVALUE(VLOOKUP(A93,BData,9,0))</f>
        <v>1.6979166666666667E-2</v>
      </c>
      <c r="F93">
        <f>VLOOKUP(A93,PData,2,0)</f>
        <v>50</v>
      </c>
      <c r="G93" s="13">
        <f>VLOOKUP(A93,E_Data,6,0)</f>
        <v>0.62426796562859199</v>
      </c>
    </row>
    <row r="94" spans="1:7">
      <c r="A94" t="str">
        <f>Break!A94</f>
        <v>Hyd_Raji Abraham (1008604)</v>
      </c>
      <c r="B94" t="str">
        <f t="shared" si="1"/>
        <v>Raji Abraham</v>
      </c>
      <c r="C94" s="12">
        <f>TIMEVALUE(VLOOKUP(A94,E_Data,2,0))</f>
        <v>0.34075231481481483</v>
      </c>
      <c r="D94" s="12">
        <f>TIMEVALUE(VLOOKUP(A94,E_Data,3,0))</f>
        <v>0.1976273148148148</v>
      </c>
      <c r="E94" s="12">
        <f>TIMEVALUE(VLOOKUP(A94,BData,9,0))</f>
        <v>4.8240740740740744E-2</v>
      </c>
      <c r="F94">
        <f>VLOOKUP(A94,PData,2,0)</f>
        <v>51</v>
      </c>
      <c r="G94" s="13">
        <f>VLOOKUP(A94,E_Data,6,0)</f>
        <v>0.54373153085832704</v>
      </c>
    </row>
    <row r="95" spans="1:7">
      <c r="A95" t="str">
        <f>Break!A95</f>
        <v>Hyd_Rajshree Dhabekar (1008605)</v>
      </c>
      <c r="B95" t="str">
        <f t="shared" si="1"/>
        <v>Rajshree Dhabekar</v>
      </c>
      <c r="C95" s="12">
        <f>TIMEVALUE(VLOOKUP(A95,E_Data,2,0))</f>
        <v>0.34390046296296295</v>
      </c>
      <c r="D95" s="12" t="e">
        <f>TIMEVALUE(VLOOKUP(A95,E_Data,3,0))</f>
        <v>#VALUE!</v>
      </c>
      <c r="E95" s="12">
        <f>TIMEVALUE(VLOOKUP(A95,BData,9,0))</f>
        <v>0.34385416666666663</v>
      </c>
      <c r="F95">
        <f>VLOOKUP(A95,PData,2,0)</f>
        <v>52</v>
      </c>
      <c r="G95" s="13">
        <f>VLOOKUP(A95,E_Data,6,0)</f>
        <v>0</v>
      </c>
    </row>
    <row r="96" spans="1:7">
      <c r="A96" t="str">
        <f>Break!A96</f>
        <v>Hyd_Rakhi Jodhani (1008606)</v>
      </c>
      <c r="B96" t="str">
        <f t="shared" si="1"/>
        <v>Rakhi Jodhani</v>
      </c>
      <c r="C96" s="12">
        <f>TIMEVALUE(VLOOKUP(A96,E_Data,2,0))</f>
        <v>0.33532407407407411</v>
      </c>
      <c r="D96" s="12">
        <f>TIMEVALUE(VLOOKUP(A96,E_Data,3,0))</f>
        <v>5.0763888888888886E-2</v>
      </c>
      <c r="E96" s="12">
        <f>TIMEVALUE(VLOOKUP(A96,BData,9,0))</f>
        <v>0.27759259259259261</v>
      </c>
      <c r="F96">
        <f>VLOOKUP(A96,PData,2,0)</f>
        <v>53</v>
      </c>
      <c r="G96" s="13">
        <f>VLOOKUP(A96,E_Data,6,0)</f>
        <v>0.14431174927516199</v>
      </c>
    </row>
    <row r="97" spans="1:7">
      <c r="A97" t="str">
        <f>Break!A97</f>
        <v>Hyd_Ramji Prasad (1008607)</v>
      </c>
      <c r="B97" t="str">
        <f t="shared" si="1"/>
        <v>Ramji Prasad</v>
      </c>
      <c r="C97" s="12">
        <f>TIMEVALUE(VLOOKUP(A97,E_Data,2,0))</f>
        <v>0.34682870370370367</v>
      </c>
      <c r="D97" s="12">
        <f>TIMEVALUE(VLOOKUP(A97,E_Data,3,0))</f>
        <v>0.20351851851851852</v>
      </c>
      <c r="E97" s="12">
        <f>TIMEVALUE(VLOOKUP(A97,BData,9,0))</f>
        <v>5.122685185185185E-2</v>
      </c>
      <c r="F97">
        <f>VLOOKUP(A97,PData,2,0)</f>
        <v>54</v>
      </c>
      <c r="G97" s="13">
        <f>VLOOKUP(A97,E_Data,6,0)</f>
        <v>0.55259293866381898</v>
      </c>
    </row>
    <row r="98" spans="1:7">
      <c r="A98" t="str">
        <f>Break!A98</f>
        <v>Del_Rashid (1008608)</v>
      </c>
      <c r="B98" t="str">
        <f t="shared" si="1"/>
        <v>Rashid</v>
      </c>
      <c r="C98" s="12">
        <f>TIMEVALUE(VLOOKUP(A98,E_Data,2,0))</f>
        <v>0.33483796296296298</v>
      </c>
      <c r="D98" s="12">
        <f>TIMEVALUE(VLOOKUP(A98,E_Data,3,0))</f>
        <v>6.6759259259259254E-2</v>
      </c>
      <c r="E98" s="12">
        <f>TIMEVALUE(VLOOKUP(A98,BData,9,0))</f>
        <v>0.23973379629629629</v>
      </c>
      <c r="F98">
        <f>VLOOKUP(A98,PData,2,0)</f>
        <v>55</v>
      </c>
      <c r="G98" s="13">
        <f>VLOOKUP(A98,E_Data,6,0)</f>
        <v>0.18938817836156199</v>
      </c>
    </row>
    <row r="99" spans="1:7">
      <c r="A99" t="str">
        <f>Break!A99</f>
        <v>Del_Rashmi Gajbe (1008609)</v>
      </c>
      <c r="B99" t="str">
        <f t="shared" si="1"/>
        <v>Rashmi Gajbe</v>
      </c>
      <c r="C99" s="12">
        <f>TIMEVALUE(VLOOKUP(A99,E_Data,2,0))</f>
        <v>0.34770833333333334</v>
      </c>
      <c r="D99" s="12">
        <f>TIMEVALUE(VLOOKUP(A99,E_Data,3,0))</f>
        <v>0.1784375</v>
      </c>
      <c r="E99" s="12">
        <f>TIMEVALUE(VLOOKUP(A99,BData,9,0))</f>
        <v>8.6782407407407405E-2</v>
      </c>
      <c r="F99">
        <f>VLOOKUP(A99,PData,2,0)</f>
        <v>56</v>
      </c>
      <c r="G99" s="13">
        <f>VLOOKUP(A99,E_Data,6,0)</f>
        <v>0.47077424938419499</v>
      </c>
    </row>
    <row r="100" spans="1:7">
      <c r="A100" t="str">
        <f>Break!A100</f>
        <v>Del_Ravi Kumar (1008610)</v>
      </c>
      <c r="B100" t="str">
        <f t="shared" si="1"/>
        <v>Ravi Kumar</v>
      </c>
      <c r="C100" s="12">
        <f>TIMEVALUE(VLOOKUP(A100,E_Data,2,0))</f>
        <v>0.33384259259259258</v>
      </c>
      <c r="D100" s="12">
        <f>TIMEVALUE(VLOOKUP(A100,E_Data,3,0))</f>
        <v>0.19934027777777777</v>
      </c>
      <c r="E100" s="12">
        <f>TIMEVALUE(VLOOKUP(A100,BData,9,0))</f>
        <v>4.9467592592592591E-2</v>
      </c>
      <c r="F100">
        <f>VLOOKUP(A100,PData,2,0)</f>
        <v>57</v>
      </c>
      <c r="G100" s="13">
        <f>VLOOKUP(A100,E_Data,6,0)</f>
        <v>0.53862155040909698</v>
      </c>
    </row>
    <row r="101" spans="1:7">
      <c r="A101" t="str">
        <f>Break!A101</f>
        <v>Del_Ravinder Kaur (1008611)</v>
      </c>
      <c r="B101" t="str">
        <f t="shared" si="1"/>
        <v>Ravinder Kaur</v>
      </c>
      <c r="C101" s="12">
        <f>TIMEVALUE(VLOOKUP(A101,E_Data,2,0))</f>
        <v>0.3346412037037037</v>
      </c>
      <c r="D101" s="12">
        <f>TIMEVALUE(VLOOKUP(A101,E_Data,3,0))</f>
        <v>0.19371527777777778</v>
      </c>
      <c r="E101" s="12">
        <f>TIMEVALUE(VLOOKUP(A101,BData,9,0))</f>
        <v>4.8240740740740744E-2</v>
      </c>
      <c r="F101">
        <f>VLOOKUP(A101,PData,2,0)</f>
        <v>58</v>
      </c>
      <c r="G101" s="13">
        <f>VLOOKUP(A101,E_Data,6,0)</f>
        <v>0.53294365856189296</v>
      </c>
    </row>
    <row r="102" spans="1:7">
      <c r="A102" t="str">
        <f>Break!A102</f>
        <v>Del_Rekha Agarwal (1008612)</v>
      </c>
      <c r="B102" t="str">
        <f t="shared" si="1"/>
        <v>Rekha Agarwal</v>
      </c>
      <c r="C102" s="12">
        <f>TIMEVALUE(VLOOKUP(A102,E_Data,2,0))</f>
        <v>0.24574074074074073</v>
      </c>
      <c r="D102" s="12">
        <f>TIMEVALUE(VLOOKUP(A102,E_Data,3,0))</f>
        <v>0.1202199074074074</v>
      </c>
      <c r="E102" s="12">
        <f>TIMEVALUE(VLOOKUP(A102,BData,9,0))</f>
        <v>0.11229166666666668</v>
      </c>
      <c r="F102">
        <f>VLOOKUP(A102,PData,2,0)</f>
        <v>59</v>
      </c>
      <c r="G102" s="13">
        <f>VLOOKUP(A102,E_Data,6,0)</f>
        <v>0.41310286360211002</v>
      </c>
    </row>
    <row r="103" spans="1:7">
      <c r="A103" t="str">
        <f>Break!A103</f>
        <v>Del_Rekha Gupta (1008613)</v>
      </c>
      <c r="B103" t="str">
        <f t="shared" si="1"/>
        <v>Rekha Gupta</v>
      </c>
      <c r="C103" s="12">
        <f>TIMEVALUE(VLOOKUP(A103,E_Data,2,0))</f>
        <v>0.34446759259259263</v>
      </c>
      <c r="D103" s="12">
        <f>TIMEVALUE(VLOOKUP(A103,E_Data,3,0))</f>
        <v>0.18254629629629629</v>
      </c>
      <c r="E103" s="12">
        <f>TIMEVALUE(VLOOKUP(A103,BData,9,0))</f>
        <v>7.6817129629629624E-2</v>
      </c>
      <c r="F103">
        <f>VLOOKUP(A103,PData,2,0)</f>
        <v>60</v>
      </c>
      <c r="G103" s="13">
        <f>VLOOKUP(A103,E_Data,6,0)</f>
        <v>0.50483838451717</v>
      </c>
    </row>
    <row r="104" spans="1:7">
      <c r="A104" t="str">
        <f>Break!A104</f>
        <v>Del_Rekha Jain  (1008614)</v>
      </c>
      <c r="B104" t="str">
        <f t="shared" si="1"/>
        <v xml:space="preserve">Rekha Jain </v>
      </c>
      <c r="C104" s="12">
        <f>TIMEVALUE(VLOOKUP(A104,E_Data,2,0))</f>
        <v>0.34423611111111113</v>
      </c>
      <c r="D104" s="12">
        <f>TIMEVALUE(VLOOKUP(A104,E_Data,3,0))</f>
        <v>0.18436342592592592</v>
      </c>
      <c r="E104" s="12">
        <f>TIMEVALUE(VLOOKUP(A104,BData,9,0))</f>
        <v>6.732638888888888E-2</v>
      </c>
      <c r="F104">
        <f>VLOOKUP(A104,PData,2,0)</f>
        <v>61</v>
      </c>
      <c r="G104" s="13">
        <f>VLOOKUP(A104,E_Data,6,0)</f>
        <v>0.52390558805729304</v>
      </c>
    </row>
    <row r="105" spans="1:7">
      <c r="A105" t="str">
        <f>Break!A105</f>
        <v>Del_Renu Pratap (1008615)</v>
      </c>
      <c r="B105" t="str">
        <f t="shared" si="1"/>
        <v>Renu Pratap</v>
      </c>
      <c r="C105" s="12">
        <f>TIMEVALUE(VLOOKUP(A105,E_Data,2,0))</f>
        <v>0.34479166666666666</v>
      </c>
      <c r="D105" s="12">
        <f>TIMEVALUE(VLOOKUP(A105,E_Data,3,0))</f>
        <v>0.10450231481481481</v>
      </c>
      <c r="E105" s="12">
        <f>TIMEVALUE(VLOOKUP(A105,BData,9,0))</f>
        <v>0.21383101851851852</v>
      </c>
      <c r="F105">
        <f>VLOOKUP(A105,PData,2,0)</f>
        <v>62</v>
      </c>
      <c r="G105" s="13">
        <f>VLOOKUP(A105,E_Data,6,0)</f>
        <v>0.25444780127559602</v>
      </c>
    </row>
    <row r="106" spans="1:7">
      <c r="A106" t="str">
        <f>Break!A106</f>
        <v>Del_Ritu Bhatnagar (1008616)</v>
      </c>
      <c r="B106" t="str">
        <f t="shared" si="1"/>
        <v>Ritu Bhatnagar</v>
      </c>
      <c r="C106" s="12">
        <f>TIMEVALUE(VLOOKUP(A106,E_Data,2,0))</f>
        <v>0.33458333333333329</v>
      </c>
      <c r="D106" s="12">
        <f>TIMEVALUE(VLOOKUP(A106,E_Data,3,0))</f>
        <v>0.20292824074074076</v>
      </c>
      <c r="E106" s="12">
        <f>TIMEVALUE(VLOOKUP(A106,BData,9,0))</f>
        <v>5.092592592592593E-2</v>
      </c>
      <c r="F106">
        <f>VLOOKUP(A106,PData,2,0)</f>
        <v>63</v>
      </c>
      <c r="G106" s="13">
        <f>VLOOKUP(A106,E_Data,6,0)</f>
        <v>0.55517503805174995</v>
      </c>
    </row>
    <row r="107" spans="1:7">
      <c r="A107" t="str">
        <f>Break!A107</f>
        <v>Del_Rohit Nishchal (1008617)</v>
      </c>
      <c r="B107" t="str">
        <f t="shared" si="1"/>
        <v>Rohit Nishchal</v>
      </c>
      <c r="C107" s="12">
        <f>TIMEVALUE(VLOOKUP(A107,E_Data,2,0))</f>
        <v>0.34524305555555551</v>
      </c>
      <c r="D107" s="12" t="e">
        <f>TIMEVALUE(VLOOKUP(A107,E_Data,3,0))</f>
        <v>#VALUE!</v>
      </c>
      <c r="E107" s="12">
        <f>TIMEVALUE(VLOOKUP(A107,BData,9,0))</f>
        <v>0.34513888888888888</v>
      </c>
      <c r="F107">
        <f>VLOOKUP(A107,PData,2,0)</f>
        <v>64</v>
      </c>
      <c r="G107" s="13">
        <f>VLOOKUP(A107,E_Data,6,0)</f>
        <v>0</v>
      </c>
    </row>
    <row r="108" spans="1:7">
      <c r="A108" t="str">
        <f>Break!A108</f>
        <v>Del_Roli Bhatnagar (1008618)</v>
      </c>
      <c r="B108" t="str">
        <f t="shared" si="1"/>
        <v>Roli Bhatnagar</v>
      </c>
      <c r="C108" s="12">
        <f>TIMEVALUE(VLOOKUP(A108,E_Data,2,0))</f>
        <v>0.34424768518518517</v>
      </c>
      <c r="D108" s="12">
        <f>TIMEVALUE(VLOOKUP(A108,E_Data,3,0))</f>
        <v>0.17256944444444444</v>
      </c>
      <c r="E108" s="12">
        <f>TIMEVALUE(VLOOKUP(A108,BData,9,0))</f>
        <v>9.0462962962962967E-2</v>
      </c>
      <c r="F108">
        <f>VLOOKUP(A108,PData,2,0)</f>
        <v>65</v>
      </c>
      <c r="G108" s="13">
        <f>VLOOKUP(A108,E_Data,6,0)</f>
        <v>0.477120667047709</v>
      </c>
    </row>
    <row r="109" spans="1:7">
      <c r="A109" t="str">
        <f>Break!A109</f>
        <v>Del_Roma Rastogi (1008619)</v>
      </c>
      <c r="B109" t="str">
        <f t="shared" si="1"/>
        <v>Roma Rastogi</v>
      </c>
      <c r="C109" s="12">
        <f>TIMEVALUE(VLOOKUP(A109,E_Data,2,0))</f>
        <v>0.35488425925925932</v>
      </c>
      <c r="D109" s="12">
        <f>TIMEVALUE(VLOOKUP(A109,E_Data,3,0))</f>
        <v>0.23307870370370373</v>
      </c>
      <c r="E109" s="12">
        <f>TIMEVALUE(VLOOKUP(A109,BData,9,0))</f>
        <v>3.7349537037037035E-2</v>
      </c>
      <c r="F109">
        <f>VLOOKUP(A109,PData,2,0)</f>
        <v>66</v>
      </c>
      <c r="G109" s="13">
        <f>VLOOKUP(A109,E_Data,6,0)</f>
        <v>0.61917030852521004</v>
      </c>
    </row>
    <row r="110" spans="1:7">
      <c r="A110" t="str">
        <f>Break!A110</f>
        <v>Del_Roohi Haider (1008620)</v>
      </c>
      <c r="B110" t="str">
        <f t="shared" si="1"/>
        <v>Roohi Haider</v>
      </c>
      <c r="C110" s="12">
        <f>TIMEVALUE(VLOOKUP(A110,E_Data,2,0))</f>
        <v>0.33346064814814813</v>
      </c>
      <c r="D110" s="12">
        <f>TIMEVALUE(VLOOKUP(A110,E_Data,3,0))</f>
        <v>0.2029050925925926</v>
      </c>
      <c r="E110" s="12">
        <f>TIMEVALUE(VLOOKUP(A110,BData,9,0))</f>
        <v>4.8194444444444449E-2</v>
      </c>
      <c r="F110">
        <f>VLOOKUP(A110,PData,2,0)</f>
        <v>67</v>
      </c>
      <c r="G110" s="13">
        <f>VLOOKUP(A110,E_Data,6,0)</f>
        <v>0.55305265350039901</v>
      </c>
    </row>
    <row r="111" spans="1:7">
      <c r="A111" t="str">
        <f>Break!A111</f>
        <v>Del_Sajid Naqvi (1008621)</v>
      </c>
      <c r="B111" t="str">
        <f t="shared" si="1"/>
        <v>Sajid Naqvi</v>
      </c>
      <c r="C111" s="12">
        <f>TIMEVALUE(VLOOKUP(A111,E_Data,2,0))</f>
        <v>0.34430555555555559</v>
      </c>
      <c r="D111" s="12">
        <f>TIMEVALUE(VLOOKUP(A111,E_Data,3,0))</f>
        <v>0.20876157407407406</v>
      </c>
      <c r="E111" s="12">
        <f>TIMEVALUE(VLOOKUP(A111,BData,9,0))</f>
        <v>4.7685185185185185E-2</v>
      </c>
      <c r="F111">
        <f>VLOOKUP(A111,PData,2,0)</f>
        <v>68</v>
      </c>
      <c r="G111" s="13">
        <f>VLOOKUP(A111,E_Data,6,0)</f>
        <v>0.56195374478956595</v>
      </c>
    </row>
    <row r="112" spans="1:7">
      <c r="A112" t="str">
        <f>Break!A112</f>
        <v>Del_Salim (1008622)</v>
      </c>
      <c r="B112" t="str">
        <f t="shared" si="1"/>
        <v>Salim</v>
      </c>
      <c r="C112" s="12">
        <f>TIMEVALUE(VLOOKUP(A112,E_Data,2,0))</f>
        <v>0.34439814814814818</v>
      </c>
      <c r="D112" s="12">
        <f>TIMEVALUE(VLOOKUP(A112,E_Data,3,0))</f>
        <v>0.19284722222222225</v>
      </c>
      <c r="E112" s="12">
        <f>TIMEVALUE(VLOOKUP(A112,BData,9,0))</f>
        <v>8.2974537037037041E-2</v>
      </c>
      <c r="F112">
        <f>VLOOKUP(A112,PData,2,0)</f>
        <v>69</v>
      </c>
      <c r="G112" s="13">
        <f>VLOOKUP(A112,E_Data,6,0)</f>
        <v>0.48780077967468699</v>
      </c>
    </row>
    <row r="113" spans="1:7">
      <c r="A113" t="str">
        <f>Break!A113</f>
        <v>Del_Sanjay Hire (1008623)</v>
      </c>
      <c r="B113" t="str">
        <f t="shared" si="1"/>
        <v>Sanjay Hire</v>
      </c>
      <c r="C113" s="12">
        <f>TIMEVALUE(VLOOKUP(A113,E_Data,2,0))</f>
        <v>0.34435185185185185</v>
      </c>
      <c r="D113" s="12">
        <f>TIMEVALUE(VLOOKUP(A113,E_Data,3,0))</f>
        <v>0.20849537037037036</v>
      </c>
      <c r="E113" s="12">
        <f>TIMEVALUE(VLOOKUP(A113,BData,9,0))</f>
        <v>4.8414351851851854E-2</v>
      </c>
      <c r="F113">
        <f>VLOOKUP(A113,PData,2,0)</f>
        <v>70</v>
      </c>
      <c r="G113" s="13">
        <f>VLOOKUP(A113,E_Data,6,0)</f>
        <v>0.55414762032804499</v>
      </c>
    </row>
    <row r="114" spans="1:7">
      <c r="A114" t="str">
        <f>Break!A114</f>
        <v>Del_Sanjiv Subherwal (1008624)</v>
      </c>
      <c r="B114" t="str">
        <f t="shared" si="1"/>
        <v>Sanjiv Subherwal</v>
      </c>
      <c r="C114" s="12">
        <f>TIMEVALUE(VLOOKUP(A114,E_Data,2,0))</f>
        <v>0.33491898148148147</v>
      </c>
      <c r="D114" s="12">
        <f>TIMEVALUE(VLOOKUP(A114,E_Data,3,0))</f>
        <v>0.21258101851851852</v>
      </c>
      <c r="E114" s="12">
        <f>TIMEVALUE(VLOOKUP(A114,BData,9,0))</f>
        <v>4.8784722222222222E-2</v>
      </c>
      <c r="F114">
        <f>VLOOKUP(A114,PData,2,0)</f>
        <v>71</v>
      </c>
      <c r="G114" s="13">
        <f>VLOOKUP(A114,E_Data,6,0)</f>
        <v>0.58651553374572396</v>
      </c>
    </row>
    <row r="115" spans="1:7">
      <c r="A115" t="str">
        <f>Break!A115</f>
        <v>Del_Sanju Ramdas (1008625)</v>
      </c>
      <c r="B115" t="str">
        <f t="shared" si="1"/>
        <v>Sanju Ramdas</v>
      </c>
      <c r="C115" s="12">
        <f>TIMEVALUE(VLOOKUP(A115,E_Data,2,0))</f>
        <v>0.34442129629629631</v>
      </c>
      <c r="D115" s="12">
        <f>TIMEVALUE(VLOOKUP(A115,E_Data,3,0))</f>
        <v>0.22203703703703703</v>
      </c>
      <c r="E115" s="12">
        <f>TIMEVALUE(VLOOKUP(A115,BData,9,0))</f>
        <v>5.1342592592592586E-2</v>
      </c>
      <c r="F115">
        <f>VLOOKUP(A115,PData,2,0)</f>
        <v>72</v>
      </c>
      <c r="G115" s="13">
        <f>VLOOKUP(A115,E_Data,6,0)</f>
        <v>0.58165871362322696</v>
      </c>
    </row>
    <row r="116" spans="1:7">
      <c r="A116" t="str">
        <f>Break!A116</f>
        <v>Del_Santosh Kumar (1008626)</v>
      </c>
      <c r="B116" t="str">
        <f t="shared" si="1"/>
        <v>Santosh Kumar</v>
      </c>
      <c r="C116" s="12">
        <f>TIMEVALUE(VLOOKUP(A116,E_Data,2,0))</f>
        <v>0.33370370370370367</v>
      </c>
      <c r="D116" s="12">
        <f>TIMEVALUE(VLOOKUP(A116,E_Data,3,0))</f>
        <v>0.21053240740740742</v>
      </c>
      <c r="E116" s="12">
        <f>TIMEVALUE(VLOOKUP(A116,BData,9,0))</f>
        <v>4.8472222222222222E-2</v>
      </c>
      <c r="F116">
        <f>VLOOKUP(A116,PData,2,0)</f>
        <v>73</v>
      </c>
      <c r="G116" s="13">
        <f>VLOOKUP(A116,E_Data,6,0)</f>
        <v>0.59073251942286398</v>
      </c>
    </row>
    <row r="117" spans="1:7">
      <c r="A117" t="str">
        <f>Break!A117</f>
        <v>Del_Santosh Kumar (1008627)</v>
      </c>
      <c r="B117" t="str">
        <f t="shared" si="1"/>
        <v>Santosh Kumar</v>
      </c>
      <c r="C117" s="12">
        <f>TIMEVALUE(VLOOKUP(A117,E_Data,2,0))</f>
        <v>0.34518518518518521</v>
      </c>
      <c r="D117" s="12">
        <f>TIMEVALUE(VLOOKUP(A117,E_Data,3,0))</f>
        <v>0.21524305555555556</v>
      </c>
      <c r="E117" s="12">
        <f>TIMEVALUE(VLOOKUP(A117,BData,9,0))</f>
        <v>4.9282407407407407E-2</v>
      </c>
      <c r="F117">
        <f>VLOOKUP(A117,PData,2,0)</f>
        <v>74</v>
      </c>
      <c r="G117" s="13">
        <f>VLOOKUP(A117,E_Data,6,0)</f>
        <v>0.58640692060085797</v>
      </c>
    </row>
    <row r="118" spans="1:7">
      <c r="A118" t="str">
        <f>Break!A118</f>
        <v>Del_Santosh Kumar (1008628)</v>
      </c>
      <c r="B118" t="str">
        <f t="shared" si="1"/>
        <v>Santosh Kumar</v>
      </c>
      <c r="C118" s="12">
        <f>TIMEVALUE(VLOOKUP(A118,E_Data,2,0))</f>
        <v>0.3354050925925926</v>
      </c>
      <c r="D118" s="12">
        <f>TIMEVALUE(VLOOKUP(A118,E_Data,3,0))</f>
        <v>0.19744212962962962</v>
      </c>
      <c r="E118" s="12">
        <f>TIMEVALUE(VLOOKUP(A118,BData,9,0))</f>
        <v>5.0011574074074076E-2</v>
      </c>
      <c r="F118">
        <f>VLOOKUP(A118,PData,2,0)</f>
        <v>75</v>
      </c>
      <c r="G118" s="13">
        <f>VLOOKUP(A118,E_Data,6,0)</f>
        <v>0.54653369681493502</v>
      </c>
    </row>
    <row r="119" spans="1:7">
      <c r="A119" t="str">
        <f>Break!A119</f>
        <v>Del_Sapna Sharma (1008629)</v>
      </c>
      <c r="B119" t="str">
        <f t="shared" si="1"/>
        <v>Sapna Sharma</v>
      </c>
      <c r="C119" s="12">
        <f>TIMEVALUE(VLOOKUP(A119,E_Data,2,0))</f>
        <v>0.33627314814814818</v>
      </c>
      <c r="D119" s="12">
        <f>TIMEVALUE(VLOOKUP(A119,E_Data,3,0))</f>
        <v>0.18991898148148148</v>
      </c>
      <c r="E119" s="12">
        <f>TIMEVALUE(VLOOKUP(A119,BData,9,0))</f>
        <v>6.4317129629629641E-2</v>
      </c>
      <c r="F119">
        <f>VLOOKUP(A119,PData,2,0)</f>
        <v>76</v>
      </c>
      <c r="G119" s="13">
        <f>VLOOKUP(A119,E_Data,6,0)</f>
        <v>0.53238796723342696</v>
      </c>
    </row>
    <row r="120" spans="1:7">
      <c r="A120" t="str">
        <f>Break!A120</f>
        <v>Del_Saroj Parita (1008630)</v>
      </c>
      <c r="B120" t="str">
        <f t="shared" si="1"/>
        <v>Saroj Parita</v>
      </c>
      <c r="C120" s="12">
        <f>TIMEVALUE(VLOOKUP(A120,E_Data,2,0))</f>
        <v>0.33471064814814816</v>
      </c>
      <c r="D120" s="12">
        <f>TIMEVALUE(VLOOKUP(A120,E_Data,3,0))</f>
        <v>0.18868055555555555</v>
      </c>
      <c r="E120" s="12">
        <f>TIMEVALUE(VLOOKUP(A120,BData,9,0))</f>
        <v>7.3344907407407414E-2</v>
      </c>
      <c r="F120">
        <f>VLOOKUP(A120,PData,2,0)</f>
        <v>77</v>
      </c>
      <c r="G120" s="13">
        <f>VLOOKUP(A120,E_Data,6,0)</f>
        <v>0.47020989660776702</v>
      </c>
    </row>
    <row r="121" spans="1:7">
      <c r="A121" t="str">
        <f>Break!A121</f>
        <v>Del_Shailaja Kamal (1008631)</v>
      </c>
      <c r="B121" t="str">
        <f t="shared" si="1"/>
        <v>Shailaja Kamal</v>
      </c>
      <c r="C121" s="12">
        <f>TIMEVALUE(VLOOKUP(A121,E_Data,2,0))</f>
        <v>0.33974537037037034</v>
      </c>
      <c r="D121" s="12">
        <f>TIMEVALUE(VLOOKUP(A121,E_Data,3,0))</f>
        <v>0.20261574074074074</v>
      </c>
      <c r="E121" s="12">
        <f>TIMEVALUE(VLOOKUP(A121,BData,9,0))</f>
        <v>4.7754629629629626E-2</v>
      </c>
      <c r="F121">
        <f>VLOOKUP(A121,PData,2,0)</f>
        <v>78</v>
      </c>
      <c r="G121" s="13">
        <f>VLOOKUP(A121,E_Data,6,0)</f>
        <v>0.54633099407235797</v>
      </c>
    </row>
    <row r="122" spans="1:7">
      <c r="A122" t="str">
        <f>Break!A122</f>
        <v>Del_Shailendra Barge (1008632)</v>
      </c>
      <c r="B122" t="str">
        <f t="shared" si="1"/>
        <v>Shailendra Barge</v>
      </c>
      <c r="C122" s="12">
        <f>TIMEVALUE(VLOOKUP(A122,E_Data,2,0))</f>
        <v>0.34557870370370369</v>
      </c>
      <c r="D122" s="12">
        <f>TIMEVALUE(VLOOKUP(A122,E_Data,3,0))</f>
        <v>0.1431597222222222</v>
      </c>
      <c r="E122" s="12">
        <f>TIMEVALUE(VLOOKUP(A122,BData,9,0))</f>
        <v>0.15493055555555554</v>
      </c>
      <c r="F122">
        <f>VLOOKUP(A122,PData,2,0)</f>
        <v>79</v>
      </c>
      <c r="G122" s="13">
        <f>VLOOKUP(A122,E_Data,6,0)</f>
        <v>0.38820416638756799</v>
      </c>
    </row>
    <row r="123" spans="1:7">
      <c r="A123" t="str">
        <f>Break!A123</f>
        <v>Del_Shankar Attendant (1008633)</v>
      </c>
      <c r="B123" t="str">
        <f t="shared" si="1"/>
        <v>Shankar Attendant</v>
      </c>
      <c r="C123" s="12">
        <f>TIMEVALUE(VLOOKUP(A123,E_Data,2,0))</f>
        <v>0.33189814814814816</v>
      </c>
      <c r="D123" s="12">
        <f>TIMEVALUE(VLOOKUP(A123,E_Data,3,0))</f>
        <v>0.1439236111111111</v>
      </c>
      <c r="E123" s="12">
        <f>TIMEVALUE(VLOOKUP(A123,BData,9,0))</f>
        <v>0.13547453703703705</v>
      </c>
      <c r="F123">
        <f>VLOOKUP(A123,PData,2,0)</f>
        <v>80</v>
      </c>
      <c r="G123" s="13">
        <f>VLOOKUP(A123,E_Data,6,0)</f>
        <v>0.40277584042404802</v>
      </c>
    </row>
    <row r="124" spans="1:7">
      <c r="A124" t="str">
        <f>Break!A124</f>
        <v>Del_Shashikant Tiwari (1008634)</v>
      </c>
      <c r="B124" t="str">
        <f t="shared" si="1"/>
        <v>Shashikant Tiwari</v>
      </c>
      <c r="C124" s="12">
        <f>TIMEVALUE(VLOOKUP(A124,E_Data,2,0))</f>
        <v>0.34369212962962964</v>
      </c>
      <c r="D124" s="12">
        <f>TIMEVALUE(VLOOKUP(A124,E_Data,3,0))</f>
        <v>0.22164351851851852</v>
      </c>
      <c r="E124" s="12">
        <f>TIMEVALUE(VLOOKUP(A124,BData,9,0))</f>
        <v>4.8599537037037038E-2</v>
      </c>
      <c r="F124">
        <f>VLOOKUP(A124,PData,2,0)</f>
        <v>81</v>
      </c>
      <c r="G124" s="13">
        <f>VLOOKUP(A124,E_Data,6,0)</f>
        <v>0.54352584610203702</v>
      </c>
    </row>
    <row r="125" spans="1:7">
      <c r="A125" t="str">
        <f>Break!A125</f>
        <v>Del_Sheeba Joseph (1008635)</v>
      </c>
      <c r="B125" t="str">
        <f t="shared" si="1"/>
        <v>Sheeba Joseph</v>
      </c>
      <c r="C125" s="12">
        <f>TIMEVALUE(VLOOKUP(A125,E_Data,2,0))</f>
        <v>0.3548263888888889</v>
      </c>
      <c r="D125" s="12">
        <f>TIMEVALUE(VLOOKUP(A125,E_Data,3,0))</f>
        <v>0.15355324074074075</v>
      </c>
      <c r="E125" s="12">
        <f>TIMEVALUE(VLOOKUP(A125,BData,9,0))</f>
        <v>3.8645833333333331E-2</v>
      </c>
      <c r="F125">
        <f>VLOOKUP(A125,PData,2,0)</f>
        <v>82</v>
      </c>
      <c r="G125" s="13">
        <f>VLOOKUP(A125,E_Data,6,0)</f>
        <v>0.28371986821932998</v>
      </c>
    </row>
    <row r="126" spans="1:7">
      <c r="A126" t="str">
        <f>Break!A126</f>
        <v>Del_Sheena Joseph (1008636)</v>
      </c>
      <c r="B126" t="str">
        <f t="shared" si="1"/>
        <v>Sheena Joseph</v>
      </c>
      <c r="C126" s="12">
        <f>TIMEVALUE(VLOOKUP(A126,E_Data,2,0))</f>
        <v>0.36775462962962963</v>
      </c>
      <c r="D126" s="12">
        <f>TIMEVALUE(VLOOKUP(A126,E_Data,3,0))</f>
        <v>0.21557870370370369</v>
      </c>
      <c r="E126" s="12">
        <f>TIMEVALUE(VLOOKUP(A126,BData,9,0))</f>
        <v>7.048611111111111E-2</v>
      </c>
      <c r="F126">
        <f>VLOOKUP(A126,PData,2,0)</f>
        <v>83</v>
      </c>
      <c r="G126" s="13">
        <f>VLOOKUP(A126,E_Data,6,0)</f>
        <v>0.56196890539434796</v>
      </c>
    </row>
    <row r="127" spans="1:7">
      <c r="A127" t="str">
        <f>Break!A127</f>
        <v>Del_Shephali Jain (1008637)</v>
      </c>
      <c r="B127" t="str">
        <f t="shared" si="1"/>
        <v>Shephali Jain</v>
      </c>
      <c r="C127" s="12">
        <f>TIMEVALUE(VLOOKUP(A127,E_Data,2,0))</f>
        <v>0.35119212962962965</v>
      </c>
      <c r="D127" s="12">
        <f>TIMEVALUE(VLOOKUP(A127,E_Data,3,0))</f>
        <v>0.15380787037037039</v>
      </c>
      <c r="E127" s="12">
        <f>TIMEVALUE(VLOOKUP(A127,BData,9,0))</f>
        <v>0.14153935185185185</v>
      </c>
      <c r="F127">
        <f>VLOOKUP(A127,PData,2,0)</f>
        <v>84</v>
      </c>
      <c r="G127" s="13">
        <f>VLOOKUP(A127,E_Data,6,0)</f>
        <v>0.40332201825791802</v>
      </c>
    </row>
    <row r="128" spans="1:7">
      <c r="A128" t="str">
        <f>Break!A128</f>
        <v>Del_Shivji Prasad (1008638)</v>
      </c>
      <c r="B128" t="str">
        <f t="shared" si="1"/>
        <v>Shivji Prasad</v>
      </c>
      <c r="C128" s="12">
        <f>TIMEVALUE(VLOOKUP(A128,E_Data,2,0))</f>
        <v>0.34143518518518517</v>
      </c>
      <c r="D128" s="12">
        <f>TIMEVALUE(VLOOKUP(A128,E_Data,3,0))</f>
        <v>0.17545138888888889</v>
      </c>
      <c r="E128" s="12">
        <f>TIMEVALUE(VLOOKUP(A128,BData,9,0))</f>
        <v>9.5694444444444457E-2</v>
      </c>
      <c r="F128">
        <f>VLOOKUP(A128,PData,2,0)</f>
        <v>85</v>
      </c>
      <c r="G128" s="13">
        <f>VLOOKUP(A128,E_Data,6,0)</f>
        <v>0.43796610169491501</v>
      </c>
    </row>
    <row r="129" spans="1:7">
      <c r="A129" t="str">
        <f>Break!A129</f>
        <v>Del_Shubhanjali Joshi (1008639)</v>
      </c>
      <c r="B129" t="str">
        <f t="shared" si="1"/>
        <v>Shubhanjali Joshi</v>
      </c>
      <c r="C129" s="12">
        <f>TIMEVALUE(VLOOKUP(A129,E_Data,2,0))</f>
        <v>0.34533564814814816</v>
      </c>
      <c r="D129" s="12">
        <f>TIMEVALUE(VLOOKUP(A129,E_Data,3,0))</f>
        <v>0.20476851851851852</v>
      </c>
      <c r="E129" s="12">
        <f>TIMEVALUE(VLOOKUP(A129,BData,9,0))</f>
        <v>5.5231481481481486E-2</v>
      </c>
      <c r="F129">
        <f>VLOOKUP(A129,PData,2,0)</f>
        <v>86</v>
      </c>
      <c r="G129" s="13">
        <f>VLOOKUP(A129,E_Data,6,0)</f>
        <v>0.55581995508931903</v>
      </c>
    </row>
    <row r="130" spans="1:7">
      <c r="A130" t="str">
        <f>Break!A130</f>
        <v>Del_Shyamal Malakar (1008640)</v>
      </c>
      <c r="B130" t="str">
        <f t="shared" si="1"/>
        <v>Shyamal Malakar</v>
      </c>
      <c r="C130" s="12">
        <f>TIMEVALUE(VLOOKUP(A130,E_Data,2,0))</f>
        <v>0.34416666666666668</v>
      </c>
      <c r="D130" s="12">
        <f>TIMEVALUE(VLOOKUP(A130,E_Data,3,0))</f>
        <v>0.12054398148148149</v>
      </c>
      <c r="E130" s="12">
        <f>TIMEVALUE(VLOOKUP(A130,BData,9,0))</f>
        <v>0.19140046296296295</v>
      </c>
      <c r="F130">
        <f>VLOOKUP(A130,PData,2,0)</f>
        <v>87</v>
      </c>
      <c r="G130" s="13">
        <f>VLOOKUP(A130,E_Data,6,0)</f>
        <v>0.326035781544256</v>
      </c>
    </row>
    <row r="131" spans="1:7">
      <c r="A131" t="str">
        <f>Break!A131</f>
        <v>Del_Sneh Khan (1008641)</v>
      </c>
      <c r="B131" t="str">
        <f t="shared" ref="B131:B150" si="2">MID(A131,FIND("_",A131,1)+1,FIND("(",A131,1)-FIND("_",A131,1)-2)</f>
        <v>Sneh Khan</v>
      </c>
      <c r="C131" s="12">
        <f>TIMEVALUE(VLOOKUP(A131,E_Data,2,0))</f>
        <v>0.33975694444444443</v>
      </c>
      <c r="D131" s="12">
        <f>TIMEVALUE(VLOOKUP(A131,E_Data,3,0))</f>
        <v>0.21278935185185185</v>
      </c>
      <c r="E131" s="12">
        <f>TIMEVALUE(VLOOKUP(A131,BData,9,0))</f>
        <v>4.8506944444444443E-2</v>
      </c>
      <c r="F131">
        <f>VLOOKUP(A131,PData,2,0)</f>
        <v>88</v>
      </c>
      <c r="G131" s="13">
        <f>VLOOKUP(A131,E_Data,6,0)</f>
        <v>0.57404190086867701</v>
      </c>
    </row>
    <row r="132" spans="1:7">
      <c r="A132" t="str">
        <f>Break!A132</f>
        <v>Del_Sonaram Munda (1008642)</v>
      </c>
      <c r="B132" t="str">
        <f t="shared" si="2"/>
        <v>Sonaram Munda</v>
      </c>
      <c r="C132" s="12">
        <f>TIMEVALUE(VLOOKUP(A132,E_Data,2,0))</f>
        <v>0.33380787037037035</v>
      </c>
      <c r="D132" s="12">
        <f>TIMEVALUE(VLOOKUP(A132,E_Data,3,0))</f>
        <v>0.1744212962962963</v>
      </c>
      <c r="E132" s="12">
        <f>TIMEVALUE(VLOOKUP(A132,BData,9,0))</f>
        <v>8.1423611111111113E-2</v>
      </c>
      <c r="F132">
        <f>VLOOKUP(A132,PData,2,0)</f>
        <v>89</v>
      </c>
      <c r="G132" s="13">
        <f>VLOOKUP(A132,E_Data,6,0)</f>
        <v>0.45359037481363301</v>
      </c>
    </row>
    <row r="133" spans="1:7">
      <c r="A133" t="str">
        <f>Break!A133</f>
        <v>Del_Sudama Kumar (1008643)</v>
      </c>
      <c r="B133" t="str">
        <f t="shared" si="2"/>
        <v>Sudama Kumar</v>
      </c>
      <c r="C133" s="12">
        <f>TIMEVALUE(VLOOKUP(A133,E_Data,2,0))</f>
        <v>0.34012731481481479</v>
      </c>
      <c r="D133" s="12">
        <f>TIMEVALUE(VLOOKUP(A133,E_Data,3,0))</f>
        <v>0.11028935185185185</v>
      </c>
      <c r="E133" s="12">
        <f>TIMEVALUE(VLOOKUP(A133,BData,9,0))</f>
        <v>0.19189814814814818</v>
      </c>
      <c r="F133">
        <f>VLOOKUP(A133,PData,2,0)</f>
        <v>90</v>
      </c>
      <c r="G133" s="13">
        <f>VLOOKUP(A133,E_Data,6,0)</f>
        <v>0.29689998979140397</v>
      </c>
    </row>
    <row r="134" spans="1:7">
      <c r="A134" t="str">
        <f>Break!A134</f>
        <v>Del_Sudhir Kumar (1008644)</v>
      </c>
      <c r="B134" t="str">
        <f t="shared" si="2"/>
        <v>Sudhir Kumar</v>
      </c>
      <c r="C134" s="12">
        <f>TIMEVALUE(VLOOKUP(A134,E_Data,2,0))</f>
        <v>0.33354166666666668</v>
      </c>
      <c r="D134" s="12">
        <f>TIMEVALUE(VLOOKUP(A134,E_Data,3,0))</f>
        <v>0.19138888888888891</v>
      </c>
      <c r="E134" s="12">
        <f>TIMEVALUE(VLOOKUP(A134,BData,9,0))</f>
        <v>5.1666666666666666E-2</v>
      </c>
      <c r="F134">
        <f>VLOOKUP(A134,PData,2,0)</f>
        <v>91</v>
      </c>
      <c r="G134" s="13">
        <f>VLOOKUP(A134,E_Data,6,0)</f>
        <v>0.55729058227496697</v>
      </c>
    </row>
    <row r="135" spans="1:7">
      <c r="A135" t="str">
        <f>Break!A135</f>
        <v>Del_Sunil Kumar (1008645)</v>
      </c>
      <c r="B135" t="str">
        <f t="shared" si="2"/>
        <v>Sunil Kumar</v>
      </c>
      <c r="C135" s="12">
        <f>TIMEVALUE(VLOOKUP(A135,E_Data,2,0))</f>
        <v>0.3357175925925926</v>
      </c>
      <c r="D135" s="12">
        <f>TIMEVALUE(VLOOKUP(A135,E_Data,3,0))</f>
        <v>0.12403935185185185</v>
      </c>
      <c r="E135" s="12">
        <f>TIMEVALUE(VLOOKUP(A135,BData,9,0))</f>
        <v>0.1645486111111111</v>
      </c>
      <c r="F135">
        <f>VLOOKUP(A135,PData,2,0)</f>
        <v>92</v>
      </c>
      <c r="G135" s="13">
        <f>VLOOKUP(A135,E_Data,6,0)</f>
        <v>0.33279321519685601</v>
      </c>
    </row>
    <row r="136" spans="1:7">
      <c r="A136" t="str">
        <f>Break!A136</f>
        <v>Del_Sunil Kumar (1008646)</v>
      </c>
      <c r="B136" t="str">
        <f t="shared" si="2"/>
        <v>Sunil Kumar</v>
      </c>
      <c r="C136" s="12">
        <f>TIMEVALUE(VLOOKUP(A136,E_Data,2,0))</f>
        <v>0.33687500000000004</v>
      </c>
      <c r="D136" s="12">
        <f>TIMEVALUE(VLOOKUP(A136,E_Data,3,0))</f>
        <v>0.17017361111111109</v>
      </c>
      <c r="E136" s="12">
        <f>TIMEVALUE(VLOOKUP(A136,BData,9,0))</f>
        <v>9.5034722222222215E-2</v>
      </c>
      <c r="F136">
        <f>VLOOKUP(A136,PData,2,0)</f>
        <v>93</v>
      </c>
      <c r="G136" s="13">
        <f>VLOOKUP(A136,E_Data,6,0)</f>
        <v>0.472308115165258</v>
      </c>
    </row>
    <row r="137" spans="1:7">
      <c r="A137" t="str">
        <f>Break!A137</f>
        <v>Del_Sunita Chawla (1008647)</v>
      </c>
      <c r="B137" t="str">
        <f t="shared" si="2"/>
        <v>Sunita Chawla</v>
      </c>
      <c r="C137" s="12">
        <f>TIMEVALUE(VLOOKUP(A137,E_Data,2,0))</f>
        <v>0.33709490740740744</v>
      </c>
      <c r="D137" s="12">
        <f>TIMEVALUE(VLOOKUP(A137,E_Data,3,0))</f>
        <v>0.18885416666666666</v>
      </c>
      <c r="E137" s="12">
        <f>TIMEVALUE(VLOOKUP(A137,BData,9,0))</f>
        <v>8.7997685185185193E-2</v>
      </c>
      <c r="F137">
        <f>VLOOKUP(A137,PData,2,0)</f>
        <v>94</v>
      </c>
      <c r="G137" s="13">
        <f>VLOOKUP(A137,E_Data,6,0)</f>
        <v>0.51110729613733896</v>
      </c>
    </row>
    <row r="138" spans="1:7">
      <c r="A138" t="str">
        <f>Break!A138</f>
        <v>Del_Sunita Madnani (1008648)</v>
      </c>
      <c r="B138" t="str">
        <f t="shared" si="2"/>
        <v>Sunita Madnani</v>
      </c>
      <c r="C138" s="12">
        <f>TIMEVALUE(VLOOKUP(A138,E_Data,2,0))</f>
        <v>0.34307870370370369</v>
      </c>
      <c r="D138" s="12">
        <f>TIMEVALUE(VLOOKUP(A138,E_Data,3,0))</f>
        <v>0.22166666666666668</v>
      </c>
      <c r="E138" s="12">
        <f>TIMEVALUE(VLOOKUP(A138,BData,9,0))</f>
        <v>4.7395833333333331E-2</v>
      </c>
      <c r="F138">
        <f>VLOOKUP(A138,PData,2,0)</f>
        <v>95</v>
      </c>
      <c r="G138" s="13">
        <f>VLOOKUP(A138,E_Data,6,0)</f>
        <v>0.58886040078267299</v>
      </c>
    </row>
    <row r="139" spans="1:7">
      <c r="A139" t="str">
        <f>Break!A139</f>
        <v>Del_Surendra Kumar (1008649)</v>
      </c>
      <c r="B139" t="str">
        <f t="shared" si="2"/>
        <v>Surendra Kumar</v>
      </c>
      <c r="C139" s="12">
        <f>TIMEVALUE(VLOOKUP(A139,E_Data,2,0))</f>
        <v>0.31192129629629628</v>
      </c>
      <c r="D139" s="12">
        <f>TIMEVALUE(VLOOKUP(A139,E_Data,3,0))</f>
        <v>0.12112268518518519</v>
      </c>
      <c r="E139" s="12">
        <f>TIMEVALUE(VLOOKUP(A139,BData,9,0))</f>
        <v>0.1575462962962963</v>
      </c>
      <c r="F139">
        <f>VLOOKUP(A139,PData,2,0)</f>
        <v>96</v>
      </c>
      <c r="G139" s="13">
        <f>VLOOKUP(A139,E_Data,6,0)</f>
        <v>0.34289424860853401</v>
      </c>
    </row>
    <row r="140" spans="1:7">
      <c r="A140" t="str">
        <f>Break!A140</f>
        <v>Del_Surendranath Thakur (1008650)</v>
      </c>
      <c r="B140" t="str">
        <f t="shared" si="2"/>
        <v>Surendranath Thakur</v>
      </c>
      <c r="C140" s="12">
        <f>TIMEVALUE(VLOOKUP(A140,E_Data,2,0))</f>
        <v>0.35686342592592596</v>
      </c>
      <c r="D140" s="12">
        <f>TIMEVALUE(VLOOKUP(A140,E_Data,3,0))</f>
        <v>0.19224537037037037</v>
      </c>
      <c r="E140" s="12">
        <f>TIMEVALUE(VLOOKUP(A140,BData,9,0))</f>
        <v>9.5196759259259259E-2</v>
      </c>
      <c r="F140">
        <f>VLOOKUP(A140,PData,2,0)</f>
        <v>97</v>
      </c>
      <c r="G140" s="13">
        <f>VLOOKUP(A140,E_Data,6,0)</f>
        <v>0.497486459313074</v>
      </c>
    </row>
    <row r="141" spans="1:7">
      <c r="A141" t="str">
        <f>Break!A141</f>
        <v>Del_Sushma Khandelwal (1008651)</v>
      </c>
      <c r="B141" t="str">
        <f t="shared" si="2"/>
        <v>Sushma Khandelwal</v>
      </c>
      <c r="C141" s="12">
        <f>TIMEVALUE(VLOOKUP(A141,E_Data,2,0))</f>
        <v>0.34392361111111108</v>
      </c>
      <c r="D141" s="12">
        <f>TIMEVALUE(VLOOKUP(A141,E_Data,3,0))</f>
        <v>0.20146990740740742</v>
      </c>
      <c r="E141" s="12">
        <f>TIMEVALUE(VLOOKUP(A141,BData,9,0))</f>
        <v>4.8854166666666664E-2</v>
      </c>
      <c r="F141">
        <f>VLOOKUP(A141,PData,2,0)</f>
        <v>98</v>
      </c>
      <c r="G141" s="13">
        <f>VLOOKUP(A141,E_Data,6,0)</f>
        <v>0.52431431936732298</v>
      </c>
    </row>
    <row r="142" spans="1:7">
      <c r="A142" t="str">
        <f>Break!A142</f>
        <v>Del_Swarnlata Borse (1008652)</v>
      </c>
      <c r="B142" t="str">
        <f t="shared" si="2"/>
        <v>Swarnlata Borse</v>
      </c>
      <c r="C142" s="12">
        <f>TIMEVALUE(VLOOKUP(A142,E_Data,2,0))</f>
        <v>0.34658564814814818</v>
      </c>
      <c r="D142" s="12">
        <f>TIMEVALUE(VLOOKUP(A142,E_Data,3,0))</f>
        <v>0.12475694444444445</v>
      </c>
      <c r="E142" s="12">
        <f>TIMEVALUE(VLOOKUP(A142,BData,9,0))</f>
        <v>0.18931712962962963</v>
      </c>
      <c r="F142">
        <f>VLOOKUP(A142,PData,2,0)</f>
        <v>99</v>
      </c>
      <c r="G142" s="13">
        <f>VLOOKUP(A142,E_Data,6,0)</f>
        <v>0.31066956086157999</v>
      </c>
    </row>
    <row r="143" spans="1:7">
      <c r="A143" t="str">
        <f>Break!A143</f>
        <v>Del_Syed Naved (1008653)</v>
      </c>
      <c r="B143" t="str">
        <f t="shared" si="2"/>
        <v>Syed Naved</v>
      </c>
      <c r="C143" s="12">
        <f>TIMEVALUE(VLOOKUP(A143,E_Data,2,0))</f>
        <v>0.34281249999999996</v>
      </c>
      <c r="D143" s="12">
        <f>TIMEVALUE(VLOOKUP(A143,E_Data,3,0))</f>
        <v>0.22505787037037037</v>
      </c>
      <c r="E143" s="12">
        <f>TIMEVALUE(VLOOKUP(A143,BData,9,0))</f>
        <v>5.1898148148148145E-2</v>
      </c>
      <c r="F143">
        <f>VLOOKUP(A143,PData,2,0)</f>
        <v>100</v>
      </c>
      <c r="G143" s="13">
        <f>VLOOKUP(A143,E_Data,6,0)</f>
        <v>0.58462473412336702</v>
      </c>
    </row>
    <row r="144" spans="1:7">
      <c r="A144" t="str">
        <f>Break!A144</f>
        <v>Del_Syed Saqib (1008654)</v>
      </c>
      <c r="B144" t="str">
        <f t="shared" si="2"/>
        <v>Syed Saqib</v>
      </c>
      <c r="C144" s="12">
        <f>TIMEVALUE(VLOOKUP(A144,E_Data,2,0))</f>
        <v>0.35055555555555556</v>
      </c>
      <c r="D144" s="12">
        <f>TIMEVALUE(VLOOKUP(A144,E_Data,3,0))</f>
        <v>0.11953703703703704</v>
      </c>
      <c r="E144" s="12">
        <f>TIMEVALUE(VLOOKUP(A144,BData,9,0))</f>
        <v>0.21081018518518521</v>
      </c>
      <c r="F144">
        <f>VLOOKUP(A144,PData,2,0)</f>
        <v>101</v>
      </c>
      <c r="G144" s="13">
        <f>VLOOKUP(A144,E_Data,6,0)</f>
        <v>0.31685816164817698</v>
      </c>
    </row>
    <row r="145" spans="1:7">
      <c r="A145" t="str">
        <f>Break!A145</f>
        <v>Del_Syed Sohail (1008655)</v>
      </c>
      <c r="B145" t="str">
        <f t="shared" si="2"/>
        <v>Syed Sohail</v>
      </c>
      <c r="C145" s="12">
        <f>TIMEVALUE(VLOOKUP(A145,E_Data,2,0))</f>
        <v>0.34575231481481478</v>
      </c>
      <c r="D145" s="12">
        <f>TIMEVALUE(VLOOKUP(A145,E_Data,3,0))</f>
        <v>0.20268518518518519</v>
      </c>
      <c r="E145" s="12">
        <f>TIMEVALUE(VLOOKUP(A145,BData,9,0))</f>
        <v>5.004629629629629E-2</v>
      </c>
      <c r="F145">
        <f>VLOOKUP(A145,PData,2,0)</f>
        <v>102</v>
      </c>
      <c r="G145" s="13">
        <f>VLOOKUP(A145,E_Data,6,0)</f>
        <v>0.56375322197301903</v>
      </c>
    </row>
    <row r="146" spans="1:7">
      <c r="A146" t="str">
        <f>Break!A146</f>
        <v>Del_System Operator (1008656)</v>
      </c>
      <c r="B146" t="str">
        <f t="shared" si="2"/>
        <v>System Operator</v>
      </c>
      <c r="C146" s="12">
        <f>TIMEVALUE(VLOOKUP(A146,E_Data,2,0))</f>
        <v>0.35479166666666667</v>
      </c>
      <c r="D146" s="12">
        <f>TIMEVALUE(VLOOKUP(A146,E_Data,3,0))</f>
        <v>0.21916666666666665</v>
      </c>
      <c r="E146" s="12">
        <f>TIMEVALUE(VLOOKUP(A146,BData,9,0))</f>
        <v>3.8946759259259257E-2</v>
      </c>
      <c r="F146">
        <f>VLOOKUP(A146,PData,2,0)</f>
        <v>103</v>
      </c>
      <c r="G146" s="13">
        <f>VLOOKUP(A146,E_Data,6,0)</f>
        <v>0.54779147908918902</v>
      </c>
    </row>
    <row r="147" spans="1:7">
      <c r="A147" t="str">
        <f>Break!A147</f>
        <v>Del_Tahira Qureshi (1008657)</v>
      </c>
      <c r="B147" t="str">
        <f t="shared" si="2"/>
        <v>Tahira Qureshi</v>
      </c>
      <c r="C147" s="12">
        <f>TIMEVALUE(VLOOKUP(A147,E_Data,2,0))</f>
        <v>0.36542824074074076</v>
      </c>
      <c r="D147" s="12">
        <f>TIMEVALUE(VLOOKUP(A147,E_Data,3,0))</f>
        <v>0.15059027777777778</v>
      </c>
      <c r="E147" s="12">
        <f>TIMEVALUE(VLOOKUP(A147,BData,9,0))</f>
        <v>0.16840277777777779</v>
      </c>
      <c r="F147">
        <f>VLOOKUP(A147,PData,2,0)</f>
        <v>104</v>
      </c>
      <c r="G147" s="13">
        <f>VLOOKUP(A147,E_Data,6,0)</f>
        <v>0.37965983593576802</v>
      </c>
    </row>
    <row r="148" spans="1:7">
      <c r="A148" t="str">
        <f>Break!A148</f>
        <v>Del_Tapas Chakraborty (1008658)</v>
      </c>
      <c r="B148" t="str">
        <f t="shared" si="2"/>
        <v>Tapas Chakraborty</v>
      </c>
      <c r="C148" s="12">
        <f>TIMEVALUE(VLOOKUP(A148,E_Data,2,0))</f>
        <v>0.34370370370370368</v>
      </c>
      <c r="D148" s="12">
        <f>TIMEVALUE(VLOOKUP(A148,E_Data,3,0))</f>
        <v>0.21891203703703702</v>
      </c>
      <c r="E148" s="12">
        <f>TIMEVALUE(VLOOKUP(A148,BData,9,0))</f>
        <v>5.0127314814814812E-2</v>
      </c>
      <c r="F148">
        <f>VLOOKUP(A148,PData,2,0)</f>
        <v>105</v>
      </c>
      <c r="G148" s="13">
        <f>VLOOKUP(A148,E_Data,6,0)</f>
        <v>0.56529498922413801</v>
      </c>
    </row>
    <row r="149" spans="1:7">
      <c r="A149" t="str">
        <f>Break!A149</f>
        <v>Del_Tariq Akhlaq (1008659)</v>
      </c>
      <c r="B149" t="str">
        <f t="shared" si="2"/>
        <v>Tariq Akhlaq</v>
      </c>
      <c r="C149" s="12">
        <f>TIMEVALUE(VLOOKUP(A149,E_Data,2,0))</f>
        <v>0.20827546296296295</v>
      </c>
      <c r="D149" s="12">
        <f>TIMEVALUE(VLOOKUP(A149,E_Data,3,0))</f>
        <v>0.1310300925925926</v>
      </c>
      <c r="E149" s="12">
        <f>TIMEVALUE(VLOOKUP(A149,BData,9,0))</f>
        <v>1.045138888888889E-2</v>
      </c>
      <c r="F149">
        <f>VLOOKUP(A149,PData,2,0)</f>
        <v>106</v>
      </c>
      <c r="G149" s="13">
        <f>VLOOKUP(A149,E_Data,6,0)</f>
        <v>0.60261183662128404</v>
      </c>
    </row>
    <row r="150" spans="1:7">
      <c r="A150" t="str">
        <f>Break!A150</f>
        <v>Del_Tasneem Khan (1008660)</v>
      </c>
      <c r="B150" t="str">
        <f t="shared" si="2"/>
        <v>Tasneem Khan</v>
      </c>
      <c r="C150" s="12">
        <f>TIMEVALUE(VLOOKUP(A150,E_Data,2,0))</f>
        <v>0.35688657407407409</v>
      </c>
      <c r="D150" s="12">
        <f>TIMEVALUE(VLOOKUP(A150,E_Data,3,0))</f>
        <v>0.19362268518518519</v>
      </c>
      <c r="E150" s="12">
        <f>TIMEVALUE(VLOOKUP(A150,BData,9,0))</f>
        <v>9.5034722222222215E-2</v>
      </c>
      <c r="F150">
        <f>VLOOKUP(A150,PData,2,0)</f>
        <v>107</v>
      </c>
      <c r="G150" s="13">
        <f>VLOOKUP(A150,E_Data,6,0)</f>
        <v>0.49813523593319298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50"/>
  <sheetViews>
    <sheetView workbookViewId="0">
      <selection sqref="A1:G150"/>
    </sheetView>
  </sheetViews>
  <sheetFormatPr defaultRowHeight="15"/>
  <cols>
    <col min="1" max="1" width="12" customWidth="1"/>
    <col min="2" max="2" width="12.7109375" customWidth="1"/>
    <col min="3" max="3" width="29.85546875" customWidth="1"/>
    <col min="4" max="4" width="17.42578125" customWidth="1"/>
    <col min="5" max="5" width="18.7109375" customWidth="1"/>
    <col min="6" max="6" width="16.140625" customWidth="1"/>
    <col min="7" max="7" width="18.42578125" customWidth="1"/>
  </cols>
  <sheetData>
    <row r="1" spans="1:7">
      <c r="A1" t="s">
        <v>0</v>
      </c>
      <c r="B1" t="s">
        <v>1001</v>
      </c>
      <c r="C1" t="s">
        <v>1002</v>
      </c>
      <c r="D1" t="s">
        <v>597</v>
      </c>
      <c r="E1" t="s">
        <v>8</v>
      </c>
      <c r="F1" t="s">
        <v>598</v>
      </c>
      <c r="G1" t="s">
        <v>600</v>
      </c>
    </row>
    <row r="2" spans="1:7">
      <c r="A2" t="s">
        <v>9</v>
      </c>
      <c r="B2" t="s">
        <v>1004</v>
      </c>
      <c r="C2" s="19">
        <v>0.34424768518518517</v>
      </c>
      <c r="D2" s="19">
        <v>0.20693287037037036</v>
      </c>
      <c r="E2" s="19">
        <v>4.7708333333333332E-2</v>
      </c>
      <c r="F2">
        <v>98</v>
      </c>
      <c r="G2">
        <v>0.55697138822580095</v>
      </c>
    </row>
    <row r="3" spans="1:7">
      <c r="A3" t="s">
        <v>14</v>
      </c>
      <c r="B3" t="s">
        <v>1005</v>
      </c>
      <c r="C3" s="19">
        <v>0.34416666666666668</v>
      </c>
      <c r="D3" s="19">
        <v>0.20733796296296295</v>
      </c>
      <c r="E3" s="19">
        <v>4.8599537037037038E-2</v>
      </c>
      <c r="F3">
        <v>23</v>
      </c>
      <c r="G3">
        <v>0.58027306967984904</v>
      </c>
    </row>
    <row r="4" spans="1:7">
      <c r="A4" t="s">
        <v>18</v>
      </c>
      <c r="B4" t="s">
        <v>1006</v>
      </c>
      <c r="C4" s="19">
        <v>0.34510416666666671</v>
      </c>
      <c r="D4" s="19">
        <v>0.20109953703703706</v>
      </c>
      <c r="E4" s="19">
        <v>5.1319444444444445E-2</v>
      </c>
      <c r="F4">
        <v>28</v>
      </c>
      <c r="G4">
        <v>0.51708756749505302</v>
      </c>
    </row>
    <row r="5" spans="1:7">
      <c r="A5" t="s">
        <v>23</v>
      </c>
      <c r="B5" t="s">
        <v>1007</v>
      </c>
      <c r="C5" s="19">
        <v>0.34023148148148147</v>
      </c>
      <c r="D5" s="19">
        <v>0.17884259259259261</v>
      </c>
      <c r="E5" s="19">
        <v>9.6550925925925915E-2</v>
      </c>
      <c r="F5">
        <v>29</v>
      </c>
      <c r="G5">
        <v>0.47720778337188702</v>
      </c>
    </row>
    <row r="6" spans="1:7">
      <c r="A6" t="s">
        <v>28</v>
      </c>
      <c r="B6" t="s">
        <v>1008</v>
      </c>
      <c r="C6" s="19">
        <v>0.30603009259259256</v>
      </c>
      <c r="D6" s="19">
        <v>0.13870370370370369</v>
      </c>
      <c r="E6" s="19">
        <v>0.12844907407407408</v>
      </c>
      <c r="F6">
        <v>93</v>
      </c>
      <c r="G6">
        <v>0.43288831738587802</v>
      </c>
    </row>
    <row r="7" spans="1:7">
      <c r="A7" t="s">
        <v>33</v>
      </c>
      <c r="B7" t="s">
        <v>1009</v>
      </c>
      <c r="C7" s="19">
        <v>0.20843750000000003</v>
      </c>
      <c r="D7" s="19">
        <v>0.15369212962962964</v>
      </c>
      <c r="E7" s="19">
        <v>1.8831018518518518E-2</v>
      </c>
      <c r="F7">
        <v>92</v>
      </c>
      <c r="G7">
        <v>0.65495030262646503</v>
      </c>
    </row>
    <row r="8" spans="1:7">
      <c r="A8" t="s">
        <v>37</v>
      </c>
      <c r="B8" t="s">
        <v>1010</v>
      </c>
      <c r="C8" s="19">
        <v>0.34488425925925931</v>
      </c>
      <c r="D8" s="19">
        <v>0.17553240740740741</v>
      </c>
      <c r="E8" s="19">
        <v>0.11229166666666668</v>
      </c>
      <c r="F8">
        <v>26</v>
      </c>
      <c r="G8">
        <v>0.49476474931203401</v>
      </c>
    </row>
    <row r="9" spans="1:7">
      <c r="A9" t="s">
        <v>42</v>
      </c>
      <c r="B9" t="s">
        <v>1011</v>
      </c>
      <c r="C9" s="19">
        <v>0.38646990740740739</v>
      </c>
      <c r="D9" s="19">
        <v>0.24453703703703702</v>
      </c>
      <c r="E9" s="19">
        <v>5.0810185185185187E-2</v>
      </c>
      <c r="F9">
        <v>90</v>
      </c>
      <c r="G9">
        <v>0.55128627474469205</v>
      </c>
    </row>
    <row r="10" spans="1:7">
      <c r="A10" t="s">
        <v>46</v>
      </c>
      <c r="B10" t="s">
        <v>1012</v>
      </c>
      <c r="C10" s="19">
        <v>0.34256944444444448</v>
      </c>
      <c r="D10" s="19">
        <v>0.20311342592592593</v>
      </c>
      <c r="E10" s="19">
        <v>4.628472222222222E-2</v>
      </c>
      <c r="F10">
        <v>89</v>
      </c>
      <c r="G10">
        <v>0.55206432867085597</v>
      </c>
    </row>
    <row r="11" spans="1:7">
      <c r="A11" t="s">
        <v>50</v>
      </c>
      <c r="B11" t="s">
        <v>1013</v>
      </c>
      <c r="C11" s="19">
        <v>0.34769675925925925</v>
      </c>
      <c r="D11" s="19">
        <v>0.20702546296296295</v>
      </c>
      <c r="E11" s="19">
        <v>4.8576388888888884E-2</v>
      </c>
      <c r="F11">
        <v>54</v>
      </c>
      <c r="G11">
        <v>0.56868945774108703</v>
      </c>
    </row>
    <row r="12" spans="1:7">
      <c r="A12" t="s">
        <v>54</v>
      </c>
      <c r="B12" t="s">
        <v>1014</v>
      </c>
      <c r="C12" s="19">
        <v>0.34068287037037037</v>
      </c>
      <c r="D12" s="19">
        <v>0.20518518518518516</v>
      </c>
      <c r="E12" s="19">
        <v>4.809027777777778E-2</v>
      </c>
      <c r="F12">
        <v>87</v>
      </c>
      <c r="G12">
        <v>0.56035332087650802</v>
      </c>
    </row>
    <row r="13" spans="1:7">
      <c r="A13" t="s">
        <v>58</v>
      </c>
      <c r="B13" t="s">
        <v>1015</v>
      </c>
      <c r="C13" s="19">
        <v>0.33622685185185186</v>
      </c>
      <c r="D13" s="19">
        <v>0.15812499999999999</v>
      </c>
      <c r="E13" s="19">
        <v>0.12590277777777778</v>
      </c>
      <c r="F13">
        <v>65</v>
      </c>
      <c r="G13">
        <v>0.41552495697073999</v>
      </c>
    </row>
    <row r="14" spans="1:7">
      <c r="A14" t="s">
        <v>63</v>
      </c>
      <c r="B14" t="s">
        <v>1016</v>
      </c>
      <c r="C14" s="19">
        <v>0.34349537037037042</v>
      </c>
      <c r="D14" s="19">
        <v>0.19699074074074074</v>
      </c>
      <c r="E14" s="19">
        <v>8.7974537037037046E-2</v>
      </c>
      <c r="F14">
        <v>85</v>
      </c>
      <c r="G14">
        <v>0.50026955994339195</v>
      </c>
    </row>
    <row r="15" spans="1:7">
      <c r="A15" t="s">
        <v>68</v>
      </c>
      <c r="B15" t="s">
        <v>1017</v>
      </c>
      <c r="C15" s="19">
        <v>0.33321759259259259</v>
      </c>
      <c r="D15" s="19">
        <v>0.19475694444444444</v>
      </c>
      <c r="E15" s="19">
        <v>4.9004629629629627E-2</v>
      </c>
      <c r="F15">
        <v>65</v>
      </c>
      <c r="G15">
        <v>0.51396318166029897</v>
      </c>
    </row>
    <row r="16" spans="1:7">
      <c r="A16" t="s">
        <v>72</v>
      </c>
      <c r="B16" t="s">
        <v>1018</v>
      </c>
      <c r="C16" s="19">
        <v>0.34512731481481485</v>
      </c>
      <c r="D16" s="19">
        <v>0.2066550925925926</v>
      </c>
      <c r="E16" s="19">
        <v>5.3460648148148153E-2</v>
      </c>
      <c r="F16">
        <v>83</v>
      </c>
      <c r="G16">
        <v>0.510580502364264</v>
      </c>
    </row>
    <row r="17" spans="1:7">
      <c r="A17" t="s">
        <v>76</v>
      </c>
      <c r="B17" t="s">
        <v>1019</v>
      </c>
      <c r="C17" s="19">
        <v>0.34531249999999997</v>
      </c>
      <c r="D17" s="19">
        <v>0.17390046296296294</v>
      </c>
      <c r="E17" s="19">
        <v>0.10023148148148148</v>
      </c>
      <c r="F17">
        <v>82</v>
      </c>
      <c r="G17">
        <v>0.48292274174627098</v>
      </c>
    </row>
    <row r="18" spans="1:7">
      <c r="A18" t="s">
        <v>81</v>
      </c>
      <c r="B18" t="s">
        <v>1019</v>
      </c>
      <c r="C18" s="19">
        <v>0.32848379629629632</v>
      </c>
      <c r="D18" s="19">
        <v>0.1973611111111111</v>
      </c>
      <c r="E18" s="19">
        <v>3.9224537037037037E-2</v>
      </c>
      <c r="F18">
        <v>81</v>
      </c>
      <c r="G18">
        <v>0.57362319861879396</v>
      </c>
    </row>
    <row r="19" spans="1:7">
      <c r="A19" t="s">
        <v>85</v>
      </c>
      <c r="B19" t="s">
        <v>1019</v>
      </c>
      <c r="C19" s="19">
        <v>0.34494212962962961</v>
      </c>
      <c r="D19" s="19">
        <v>0.20702546296296295</v>
      </c>
      <c r="E19" s="19">
        <v>4.8692129629629627E-2</v>
      </c>
      <c r="F19">
        <v>80</v>
      </c>
      <c r="G19">
        <v>0.56430560681810604</v>
      </c>
    </row>
    <row r="20" spans="1:7">
      <c r="A20" t="s">
        <v>88</v>
      </c>
      <c r="B20" t="s">
        <v>1019</v>
      </c>
      <c r="C20" s="19">
        <v>0.34810185185185188</v>
      </c>
      <c r="D20" s="19">
        <v>0.18267361111111111</v>
      </c>
      <c r="E20" s="19">
        <v>0.11122685185185184</v>
      </c>
      <c r="F20">
        <v>79</v>
      </c>
      <c r="G20">
        <v>0.46974331693044302</v>
      </c>
    </row>
    <row r="21" spans="1:7">
      <c r="A21" t="s">
        <v>94</v>
      </c>
      <c r="B21" t="s">
        <v>1020</v>
      </c>
      <c r="C21" s="19">
        <v>0.34574074074074074</v>
      </c>
      <c r="D21" s="19">
        <v>0.20710648148148147</v>
      </c>
      <c r="E21" s="19">
        <v>5.1736111111111115E-2</v>
      </c>
      <c r="F21">
        <v>78</v>
      </c>
      <c r="G21">
        <v>0.57495313336904097</v>
      </c>
    </row>
    <row r="22" spans="1:7">
      <c r="A22" t="s">
        <v>99</v>
      </c>
      <c r="B22" t="s">
        <v>1021</v>
      </c>
      <c r="C22" s="19">
        <v>0.3428356481481481</v>
      </c>
      <c r="D22" s="19">
        <v>0.20393518518518516</v>
      </c>
      <c r="E22" s="19">
        <v>4.6516203703703705E-2</v>
      </c>
      <c r="F22">
        <v>77</v>
      </c>
      <c r="G22">
        <v>0.57945376590932096</v>
      </c>
    </row>
    <row r="23" spans="1:7">
      <c r="A23" t="s">
        <v>103</v>
      </c>
      <c r="B23" t="s">
        <v>1022</v>
      </c>
      <c r="C23" s="19">
        <v>0.34553240740740737</v>
      </c>
      <c r="D23" s="19">
        <v>0.20821759259259257</v>
      </c>
      <c r="E23" s="19">
        <v>4.8460648148148149E-2</v>
      </c>
      <c r="F23">
        <v>76</v>
      </c>
      <c r="G23">
        <v>0.588296375695049</v>
      </c>
    </row>
    <row r="24" spans="1:7">
      <c r="A24" t="s">
        <v>107</v>
      </c>
      <c r="B24" t="s">
        <v>1023</v>
      </c>
      <c r="C24" s="19">
        <v>0.32064814814814818</v>
      </c>
      <c r="D24" s="19">
        <v>0.17288194444444446</v>
      </c>
      <c r="E24" s="19">
        <v>9.0486111111111114E-2</v>
      </c>
      <c r="F24">
        <v>75</v>
      </c>
      <c r="G24">
        <v>0.46267686976609901</v>
      </c>
    </row>
    <row r="25" spans="1:7">
      <c r="A25" t="s">
        <v>112</v>
      </c>
      <c r="B25" t="s">
        <v>1024</v>
      </c>
      <c r="C25" s="19">
        <v>0.34032407407407406</v>
      </c>
      <c r="D25" s="19">
        <v>0.17644675925925926</v>
      </c>
      <c r="E25" s="19">
        <v>9.116898148148149E-2</v>
      </c>
      <c r="F25">
        <v>74</v>
      </c>
      <c r="G25">
        <v>0.478030199972793</v>
      </c>
    </row>
    <row r="26" spans="1:7">
      <c r="A26" t="s">
        <v>117</v>
      </c>
      <c r="B26" t="s">
        <v>1025</v>
      </c>
      <c r="C26" s="19">
        <v>0.34328703703703706</v>
      </c>
      <c r="D26" s="19">
        <v>0.22703703703703704</v>
      </c>
      <c r="E26" s="19">
        <v>5.0625000000000003E-2</v>
      </c>
      <c r="F26">
        <v>73</v>
      </c>
      <c r="G26">
        <v>0.59983142279163904</v>
      </c>
    </row>
    <row r="27" spans="1:7">
      <c r="A27" t="s">
        <v>121</v>
      </c>
      <c r="B27" t="s">
        <v>1026</v>
      </c>
      <c r="C27" s="19">
        <v>0.31663194444444448</v>
      </c>
      <c r="D27" s="19">
        <v>0.21199074074074076</v>
      </c>
      <c r="E27" s="19">
        <v>2.1180555555555553E-2</v>
      </c>
      <c r="F27">
        <v>72</v>
      </c>
      <c r="G27">
        <v>0.65029060203969702</v>
      </c>
    </row>
    <row r="28" spans="1:7">
      <c r="A28" t="s">
        <v>124</v>
      </c>
      <c r="B28" t="s">
        <v>1027</v>
      </c>
      <c r="C28" s="19">
        <v>0.34512731481481485</v>
      </c>
      <c r="D28" s="19">
        <v>0.20607638888888888</v>
      </c>
      <c r="E28" s="19">
        <v>4.9768518518518517E-2</v>
      </c>
      <c r="F28">
        <v>71</v>
      </c>
      <c r="G28">
        <v>0.55001844461584903</v>
      </c>
    </row>
    <row r="29" spans="1:7">
      <c r="A29" t="s">
        <v>128</v>
      </c>
      <c r="B29" t="s">
        <v>1028</v>
      </c>
      <c r="C29" s="19">
        <v>0.34297453703703701</v>
      </c>
      <c r="D29" s="19">
        <v>0.21273148148148147</v>
      </c>
      <c r="E29" s="19">
        <v>4.8645833333333333E-2</v>
      </c>
      <c r="F29">
        <v>70</v>
      </c>
      <c r="G29">
        <v>0.51334660682347399</v>
      </c>
    </row>
    <row r="30" spans="1:7">
      <c r="A30" t="s">
        <v>132</v>
      </c>
      <c r="B30" t="s">
        <v>1029</v>
      </c>
      <c r="C30" s="19">
        <v>0.34387731481481482</v>
      </c>
      <c r="D30" s="19">
        <v>0.17480324074074075</v>
      </c>
      <c r="E30" s="19">
        <v>0.11449074074074074</v>
      </c>
      <c r="F30">
        <v>69</v>
      </c>
      <c r="G30">
        <v>0.43603379219817601</v>
      </c>
    </row>
    <row r="31" spans="1:7">
      <c r="A31" t="s">
        <v>138</v>
      </c>
      <c r="B31" t="s">
        <v>1030</v>
      </c>
      <c r="C31" s="19">
        <v>0.31069444444444444</v>
      </c>
      <c r="D31" s="19">
        <v>0.1912962962962963</v>
      </c>
      <c r="E31" s="19">
        <v>5.5787037037037031E-2</v>
      </c>
      <c r="F31">
        <v>68</v>
      </c>
      <c r="G31">
        <v>0.52954105200417201</v>
      </c>
    </row>
    <row r="32" spans="1:7">
      <c r="A32" t="s">
        <v>143</v>
      </c>
      <c r="B32" t="s">
        <v>1031</v>
      </c>
      <c r="C32" s="19">
        <v>0.33329861111111109</v>
      </c>
      <c r="D32" s="19">
        <v>0.21824074074074074</v>
      </c>
      <c r="E32" s="19">
        <v>4.809027777777778E-2</v>
      </c>
      <c r="F32">
        <v>67</v>
      </c>
      <c r="G32">
        <v>0.56446852102649603</v>
      </c>
    </row>
    <row r="33" spans="1:7">
      <c r="A33" t="s">
        <v>145</v>
      </c>
      <c r="B33" t="s">
        <v>1032</v>
      </c>
      <c r="C33" s="19">
        <v>0.34564814814814815</v>
      </c>
      <c r="D33" s="19">
        <v>0.21184027777777778</v>
      </c>
      <c r="E33" s="19">
        <v>8.9745370370370378E-2</v>
      </c>
      <c r="F33">
        <v>66</v>
      </c>
      <c r="G33">
        <v>0.49789043664612898</v>
      </c>
    </row>
    <row r="34" spans="1:7">
      <c r="A34" t="s">
        <v>150</v>
      </c>
      <c r="B34" t="s">
        <v>1033</v>
      </c>
      <c r="C34" s="19">
        <v>0.34664351851851855</v>
      </c>
      <c r="D34" s="19">
        <v>0.20781249999999998</v>
      </c>
      <c r="E34" s="19">
        <v>4.7951388888888891E-2</v>
      </c>
      <c r="F34">
        <v>65</v>
      </c>
      <c r="G34">
        <v>0.56270450751252099</v>
      </c>
    </row>
    <row r="35" spans="1:7">
      <c r="A35" t="s">
        <v>153</v>
      </c>
      <c r="B35" t="s">
        <v>1034</v>
      </c>
      <c r="C35" s="19">
        <v>0.34471064814814811</v>
      </c>
      <c r="D35" s="19">
        <v>0.20981481481481482</v>
      </c>
      <c r="E35" s="19">
        <v>4.8564814814814818E-2</v>
      </c>
      <c r="F35">
        <v>64</v>
      </c>
      <c r="G35">
        <v>0.57680556021891705</v>
      </c>
    </row>
    <row r="36" spans="1:7">
      <c r="A36" t="s">
        <v>157</v>
      </c>
      <c r="B36" t="s">
        <v>1035</v>
      </c>
      <c r="C36" s="19">
        <v>0.31923611111111111</v>
      </c>
      <c r="D36" s="19">
        <v>0.18953703703703703</v>
      </c>
      <c r="E36" s="19">
        <v>6.1215277777777778E-2</v>
      </c>
      <c r="F36">
        <v>63</v>
      </c>
      <c r="G36">
        <v>0.55728373576970502</v>
      </c>
    </row>
    <row r="37" spans="1:7">
      <c r="A37" t="s">
        <v>161</v>
      </c>
      <c r="B37" t="s">
        <v>1036</v>
      </c>
      <c r="C37" s="19">
        <v>0.34128472222222223</v>
      </c>
      <c r="D37" s="19">
        <v>0.17200231481481479</v>
      </c>
      <c r="E37" s="19">
        <v>0.10777777777777779</v>
      </c>
      <c r="F37">
        <v>62</v>
      </c>
      <c r="G37">
        <v>0.47590463594126198</v>
      </c>
    </row>
    <row r="38" spans="1:7">
      <c r="A38" t="s">
        <v>167</v>
      </c>
      <c r="B38" t="s">
        <v>1037</v>
      </c>
      <c r="C38" s="19">
        <v>0.34012731481481479</v>
      </c>
      <c r="D38" s="19">
        <v>0.20243055555555556</v>
      </c>
      <c r="E38" s="19">
        <v>4.8333333333333332E-2</v>
      </c>
      <c r="F38">
        <v>61</v>
      </c>
      <c r="G38">
        <v>0.55636846224520997</v>
      </c>
    </row>
    <row r="39" spans="1:7">
      <c r="A39" t="s">
        <v>171</v>
      </c>
      <c r="B39" t="s">
        <v>1038</v>
      </c>
      <c r="C39" s="19">
        <v>0.3442824074074074</v>
      </c>
      <c r="D39" s="19">
        <v>0.20569444444444443</v>
      </c>
      <c r="E39" s="19">
        <v>4.912037037037037E-2</v>
      </c>
      <c r="F39">
        <v>60</v>
      </c>
      <c r="G39">
        <v>0.527970147246689</v>
      </c>
    </row>
    <row r="40" spans="1:7">
      <c r="A40" t="s">
        <v>173</v>
      </c>
      <c r="B40" t="s">
        <v>1039</v>
      </c>
      <c r="C40" s="19">
        <v>0.3439699074074074</v>
      </c>
      <c r="D40" s="19">
        <v>0.20620370370370369</v>
      </c>
      <c r="E40" s="19">
        <v>4.8923611111111105E-2</v>
      </c>
      <c r="F40">
        <v>59</v>
      </c>
      <c r="G40">
        <v>0.565025741108382</v>
      </c>
    </row>
    <row r="41" spans="1:7">
      <c r="A41" t="s">
        <v>177</v>
      </c>
      <c r="B41" t="s">
        <v>1040</v>
      </c>
      <c r="C41" s="19">
        <v>0.34541666666666665</v>
      </c>
      <c r="D41" s="19">
        <v>0.22590277777777779</v>
      </c>
      <c r="E41" s="19">
        <v>4.8749999999999995E-2</v>
      </c>
      <c r="F41">
        <v>58</v>
      </c>
      <c r="G41">
        <v>0.48579278917035301</v>
      </c>
    </row>
    <row r="42" spans="1:7">
      <c r="A42" t="s">
        <v>181</v>
      </c>
      <c r="B42" t="s">
        <v>1041</v>
      </c>
      <c r="C42" s="19">
        <v>0.34445601851851854</v>
      </c>
      <c r="D42" s="19">
        <v>0.20725694444444445</v>
      </c>
      <c r="E42" s="19">
        <v>4.6990740740740743E-2</v>
      </c>
      <c r="F42">
        <v>57</v>
      </c>
      <c r="G42">
        <v>0.572258996673499</v>
      </c>
    </row>
    <row r="43" spans="1:7">
      <c r="A43" t="s">
        <v>185</v>
      </c>
      <c r="B43" t="s">
        <v>1042</v>
      </c>
      <c r="C43" s="19">
        <v>0.33342592592592596</v>
      </c>
      <c r="D43" s="19">
        <v>0.16271990740740741</v>
      </c>
      <c r="E43" s="19">
        <v>0.10062500000000001</v>
      </c>
      <c r="F43">
        <v>56</v>
      </c>
      <c r="G43">
        <v>0.46542627048042201</v>
      </c>
    </row>
    <row r="44" spans="1:7">
      <c r="A44" t="s">
        <v>190</v>
      </c>
      <c r="B44" t="s">
        <v>1043</v>
      </c>
      <c r="C44" s="19">
        <v>0.2094560185185185</v>
      </c>
      <c r="D44" s="19">
        <v>0.13993055555555556</v>
      </c>
      <c r="E44" s="19">
        <v>1.0416666666666666E-2</v>
      </c>
      <c r="F44">
        <v>55</v>
      </c>
      <c r="G44">
        <v>0.64380836602751801</v>
      </c>
    </row>
    <row r="45" spans="1:7">
      <c r="A45" t="s">
        <v>193</v>
      </c>
      <c r="B45" t="s">
        <v>1044</v>
      </c>
      <c r="C45" s="19">
        <v>0.35192129629629632</v>
      </c>
      <c r="D45" s="19">
        <v>0.22140046296296298</v>
      </c>
      <c r="E45" s="19">
        <v>4.8437500000000001E-2</v>
      </c>
      <c r="F45">
        <v>54</v>
      </c>
      <c r="G45">
        <v>0.57347234098533195</v>
      </c>
    </row>
    <row r="46" spans="1:7">
      <c r="A46" t="s">
        <v>197</v>
      </c>
      <c r="B46" t="s">
        <v>1045</v>
      </c>
      <c r="C46" s="19">
        <v>0.32876157407407408</v>
      </c>
      <c r="D46" s="19">
        <v>0.22660879629629629</v>
      </c>
      <c r="E46" s="19">
        <v>3.9108796296296301E-2</v>
      </c>
      <c r="F46">
        <v>53</v>
      </c>
      <c r="G46">
        <v>0.64717479317021698</v>
      </c>
    </row>
    <row r="47" spans="1:7">
      <c r="A47" t="s">
        <v>201</v>
      </c>
      <c r="B47" t="s">
        <v>1046</v>
      </c>
      <c r="C47" s="19">
        <v>0.33435185185185184</v>
      </c>
      <c r="D47" s="19">
        <v>0.17586805555555554</v>
      </c>
      <c r="E47" s="19">
        <v>9.0555555555555556E-2</v>
      </c>
      <c r="F47">
        <v>52</v>
      </c>
      <c r="G47">
        <v>0.50443090556632497</v>
      </c>
    </row>
    <row r="48" spans="1:7">
      <c r="A48" t="s">
        <v>206</v>
      </c>
      <c r="B48" t="s">
        <v>1047</v>
      </c>
      <c r="C48" s="19">
        <v>0.34831018518518514</v>
      </c>
      <c r="D48" s="19">
        <v>0.21436342592592594</v>
      </c>
      <c r="E48" s="19">
        <v>4.8240740740740744E-2</v>
      </c>
      <c r="F48">
        <v>51</v>
      </c>
      <c r="G48">
        <v>0.55280122283511701</v>
      </c>
    </row>
    <row r="49" spans="1:7">
      <c r="A49" t="s">
        <v>208</v>
      </c>
      <c r="B49" t="s">
        <v>1048</v>
      </c>
      <c r="C49" s="19">
        <v>0.34407407407407403</v>
      </c>
      <c r="D49" s="19">
        <v>0.19798611111111111</v>
      </c>
      <c r="E49" s="19">
        <v>4.8437500000000001E-2</v>
      </c>
      <c r="F49">
        <v>50</v>
      </c>
      <c r="G49">
        <v>0.55493137782561897</v>
      </c>
    </row>
    <row r="50" spans="1:7">
      <c r="A50" t="s">
        <v>210</v>
      </c>
      <c r="B50" t="s">
        <v>1049</v>
      </c>
      <c r="C50" s="19">
        <v>0.33285879629629628</v>
      </c>
      <c r="D50" s="19">
        <v>0.19598379629629628</v>
      </c>
      <c r="E50" s="19">
        <v>4.8738425925925921E-2</v>
      </c>
      <c r="F50">
        <v>49</v>
      </c>
      <c r="G50">
        <v>0.55217497131332804</v>
      </c>
    </row>
    <row r="51" spans="1:7">
      <c r="A51" t="s">
        <v>213</v>
      </c>
      <c r="B51" t="s">
        <v>1050</v>
      </c>
      <c r="C51" s="19">
        <v>0.20570601851851852</v>
      </c>
      <c r="D51" s="19">
        <v>0.13252314814814814</v>
      </c>
      <c r="E51" s="19">
        <v>1.2615740740740742E-2</v>
      </c>
      <c r="F51">
        <v>48</v>
      </c>
      <c r="G51">
        <v>0.58819557756147001</v>
      </c>
    </row>
    <row r="52" spans="1:7">
      <c r="A52" t="s">
        <v>217</v>
      </c>
      <c r="B52" t="s">
        <v>1051</v>
      </c>
      <c r="C52" s="19">
        <v>0.32318287037037036</v>
      </c>
      <c r="D52" s="19">
        <v>0.19381944444444443</v>
      </c>
      <c r="E52" s="19">
        <v>5.1898148148148145E-2</v>
      </c>
      <c r="F52">
        <v>47</v>
      </c>
      <c r="G52">
        <v>0.55534863732407003</v>
      </c>
    </row>
    <row r="53" spans="1:7">
      <c r="A53" t="s">
        <v>222</v>
      </c>
      <c r="B53" t="s">
        <v>1052</v>
      </c>
      <c r="C53" s="19">
        <v>0.33348379629629626</v>
      </c>
      <c r="D53" s="19">
        <v>0.19890046296296296</v>
      </c>
      <c r="E53" s="19">
        <v>4.8657407407407406E-2</v>
      </c>
      <c r="F53">
        <v>46</v>
      </c>
      <c r="G53">
        <v>0.55815083469267301</v>
      </c>
    </row>
    <row r="54" spans="1:7">
      <c r="A54" t="s">
        <v>224</v>
      </c>
      <c r="B54" t="s">
        <v>1053</v>
      </c>
      <c r="C54" s="19">
        <v>0.34015046296296297</v>
      </c>
      <c r="D54" s="19">
        <v>0.20222222222222222</v>
      </c>
      <c r="E54" s="19">
        <v>4.8715277777777781E-2</v>
      </c>
      <c r="F54">
        <v>45</v>
      </c>
      <c r="G54">
        <v>0.53002824185919895</v>
      </c>
    </row>
    <row r="55" spans="1:7">
      <c r="A55" t="s">
        <v>227</v>
      </c>
      <c r="B55" t="s">
        <v>1054</v>
      </c>
      <c r="C55" s="19">
        <v>0.34311342592592592</v>
      </c>
      <c r="D55" s="19">
        <v>0.21112268518518518</v>
      </c>
      <c r="E55" s="19">
        <v>4.9062500000000002E-2</v>
      </c>
      <c r="F55">
        <v>44</v>
      </c>
      <c r="G55">
        <v>0.54639905548996504</v>
      </c>
    </row>
    <row r="56" spans="1:7">
      <c r="A56" t="s">
        <v>231</v>
      </c>
      <c r="B56" t="s">
        <v>1055</v>
      </c>
      <c r="C56" s="19">
        <v>0.32046296296296295</v>
      </c>
      <c r="D56" s="19">
        <v>0.18484953703703702</v>
      </c>
      <c r="E56" s="19">
        <v>4.9143518518518524E-2</v>
      </c>
      <c r="F56">
        <v>43</v>
      </c>
      <c r="G56">
        <v>0.52849609939323905</v>
      </c>
    </row>
    <row r="57" spans="1:7">
      <c r="A57" t="s">
        <v>235</v>
      </c>
      <c r="B57" t="s">
        <v>1056</v>
      </c>
      <c r="C57" s="19">
        <v>0.33384259259259258</v>
      </c>
      <c r="D57" s="19">
        <v>0.1867824074074074</v>
      </c>
      <c r="E57" s="19">
        <v>4.853009259259259E-2</v>
      </c>
      <c r="F57">
        <v>42</v>
      </c>
      <c r="G57">
        <v>0.53279711551795905</v>
      </c>
    </row>
    <row r="58" spans="1:7">
      <c r="A58" t="s">
        <v>237</v>
      </c>
      <c r="B58" t="s">
        <v>1056</v>
      </c>
      <c r="C58" s="19">
        <v>0.33012731481481478</v>
      </c>
      <c r="D58" s="19">
        <v>0.18739583333333332</v>
      </c>
      <c r="E58" s="19">
        <v>5.2766203703703697E-2</v>
      </c>
      <c r="F58">
        <v>41</v>
      </c>
      <c r="G58">
        <v>0.53150089401535605</v>
      </c>
    </row>
    <row r="59" spans="1:7">
      <c r="A59" t="s">
        <v>239</v>
      </c>
      <c r="B59" t="s">
        <v>1057</v>
      </c>
      <c r="C59" s="19">
        <v>0.34032407407407406</v>
      </c>
      <c r="D59" s="19">
        <v>0.21151620370370372</v>
      </c>
      <c r="E59" s="19">
        <v>4.9756944444444444E-2</v>
      </c>
      <c r="F59">
        <v>40</v>
      </c>
      <c r="G59">
        <v>0.58954564004897303</v>
      </c>
    </row>
    <row r="60" spans="1:7">
      <c r="A60" t="s">
        <v>242</v>
      </c>
      <c r="B60" t="s">
        <v>1058</v>
      </c>
      <c r="C60" s="19">
        <v>0.33714120370370365</v>
      </c>
      <c r="D60" s="19">
        <v>0.13162037037037036</v>
      </c>
      <c r="E60" s="19">
        <v>0.14913194444444444</v>
      </c>
      <c r="F60">
        <v>39</v>
      </c>
      <c r="G60">
        <v>0.34903360911806097</v>
      </c>
    </row>
    <row r="61" spans="1:7">
      <c r="A61" t="s">
        <v>247</v>
      </c>
      <c r="B61" t="s">
        <v>1059</v>
      </c>
      <c r="C61" s="19">
        <v>0.34364583333333337</v>
      </c>
      <c r="D61" s="19">
        <v>0.17246527777777776</v>
      </c>
      <c r="E61" s="19">
        <v>9.194444444444444E-2</v>
      </c>
      <c r="F61">
        <v>38</v>
      </c>
      <c r="G61">
        <v>0.47933717288067101</v>
      </c>
    </row>
    <row r="62" spans="1:7">
      <c r="A62" t="s">
        <v>252</v>
      </c>
      <c r="B62" t="s">
        <v>1060</v>
      </c>
      <c r="C62" s="19">
        <v>0.21915509259259258</v>
      </c>
      <c r="D62" s="19">
        <v>0.15189814814814814</v>
      </c>
      <c r="E62" s="19">
        <v>1.082175925925926E-2</v>
      </c>
      <c r="F62">
        <v>37</v>
      </c>
      <c r="G62">
        <v>0.62762080802746201</v>
      </c>
    </row>
    <row r="63" spans="1:7">
      <c r="A63" t="s">
        <v>255</v>
      </c>
      <c r="B63" t="s">
        <v>1061</v>
      </c>
      <c r="C63" s="19">
        <v>0.3417824074074074</v>
      </c>
      <c r="D63" s="19">
        <v>0.17645833333333336</v>
      </c>
      <c r="E63" s="19">
        <v>9.2442129629629624E-2</v>
      </c>
      <c r="F63">
        <v>36</v>
      </c>
      <c r="G63">
        <v>0.47561801557737898</v>
      </c>
    </row>
    <row r="64" spans="1:7">
      <c r="A64" t="s">
        <v>258</v>
      </c>
      <c r="B64" t="s">
        <v>1062</v>
      </c>
      <c r="C64" s="19">
        <v>0.33370370370370367</v>
      </c>
      <c r="D64" s="19">
        <v>0.16336805555555556</v>
      </c>
      <c r="E64" s="19">
        <v>0.11005787037037036</v>
      </c>
      <c r="F64">
        <v>35</v>
      </c>
      <c r="G64">
        <v>0.43635543840177599</v>
      </c>
    </row>
    <row r="65" spans="1:7">
      <c r="A65" t="s">
        <v>262</v>
      </c>
      <c r="B65" t="s">
        <v>1063</v>
      </c>
      <c r="C65" s="19">
        <v>0.33026620370370369</v>
      </c>
      <c r="D65" s="19">
        <v>0.16021990740740741</v>
      </c>
      <c r="E65" s="19">
        <v>0.10043981481481483</v>
      </c>
      <c r="F65">
        <v>34</v>
      </c>
      <c r="G65">
        <v>0.451270369721395</v>
      </c>
    </row>
    <row r="66" spans="1:7">
      <c r="A66" t="s">
        <v>268</v>
      </c>
      <c r="B66" t="s">
        <v>1064</v>
      </c>
      <c r="C66" s="19">
        <v>0.20910879629629631</v>
      </c>
      <c r="D66" s="19">
        <v>0.13449074074074074</v>
      </c>
      <c r="E66" s="19">
        <v>2.0532407407407405E-2</v>
      </c>
      <c r="F66">
        <v>33</v>
      </c>
      <c r="G66">
        <v>0.61244257486024201</v>
      </c>
    </row>
    <row r="67" spans="1:7">
      <c r="A67" t="s">
        <v>272</v>
      </c>
      <c r="B67" t="s">
        <v>1065</v>
      </c>
      <c r="C67" s="19">
        <v>0.34836805555555556</v>
      </c>
      <c r="D67" s="19">
        <v>0.19697916666666668</v>
      </c>
      <c r="E67" s="19">
        <v>5.1423611111111107E-2</v>
      </c>
      <c r="F67">
        <v>32</v>
      </c>
      <c r="G67">
        <v>0.51755872288115901</v>
      </c>
    </row>
    <row r="68" spans="1:7">
      <c r="A68" t="s">
        <v>275</v>
      </c>
      <c r="B68" t="s">
        <v>1066</v>
      </c>
      <c r="C68" s="19">
        <v>0.34686342592592595</v>
      </c>
      <c r="D68" s="19">
        <v>0.2043865740740741</v>
      </c>
      <c r="E68" s="19">
        <v>4.7534722222222221E-2</v>
      </c>
      <c r="F68">
        <v>31</v>
      </c>
      <c r="G68">
        <v>0.55550735760285597</v>
      </c>
    </row>
    <row r="69" spans="1:7">
      <c r="A69" t="s">
        <v>279</v>
      </c>
      <c r="B69" t="s">
        <v>1067</v>
      </c>
      <c r="C69" s="19">
        <v>0.3480671296296296</v>
      </c>
      <c r="D69" s="19">
        <v>0.19177083333333333</v>
      </c>
      <c r="E69" s="19">
        <v>9.3958333333333324E-2</v>
      </c>
      <c r="F69">
        <v>30</v>
      </c>
      <c r="G69">
        <v>0.45535862734013899</v>
      </c>
    </row>
    <row r="70" spans="1:7">
      <c r="A70" t="s">
        <v>283</v>
      </c>
      <c r="B70" t="s">
        <v>1068</v>
      </c>
      <c r="C70" s="19">
        <v>0.33495370370370375</v>
      </c>
      <c r="D70" s="19">
        <v>0.19739583333333333</v>
      </c>
      <c r="E70" s="19">
        <v>4.8645833333333333E-2</v>
      </c>
      <c r="F70">
        <v>29</v>
      </c>
      <c r="G70">
        <v>0.53445058742225304</v>
      </c>
    </row>
    <row r="71" spans="1:7">
      <c r="A71" t="s">
        <v>284</v>
      </c>
      <c r="B71" t="s">
        <v>1069</v>
      </c>
      <c r="C71" s="19">
        <v>0.34497685185185184</v>
      </c>
      <c r="D71" s="19">
        <v>0.20746527777777779</v>
      </c>
      <c r="E71" s="19">
        <v>6.7650462962962968E-2</v>
      </c>
      <c r="F71">
        <v>28</v>
      </c>
      <c r="G71">
        <v>0.55914916459773201</v>
      </c>
    </row>
    <row r="72" spans="1:7">
      <c r="A72" t="s">
        <v>289</v>
      </c>
      <c r="B72" t="s">
        <v>1070</v>
      </c>
      <c r="C72" s="19">
        <v>0.33376157407407409</v>
      </c>
      <c r="D72" s="19">
        <v>0.19787037037037036</v>
      </c>
      <c r="E72" s="19">
        <v>4.853009259259259E-2</v>
      </c>
      <c r="F72">
        <v>29</v>
      </c>
      <c r="G72">
        <v>0.56847106148351101</v>
      </c>
    </row>
    <row r="73" spans="1:7">
      <c r="A73" t="s">
        <v>291</v>
      </c>
      <c r="B73" t="s">
        <v>1071</v>
      </c>
      <c r="C73" s="19">
        <v>0.33037037037037037</v>
      </c>
      <c r="D73" s="19">
        <v>0.1849652777777778</v>
      </c>
      <c r="E73" s="19">
        <v>6.6701388888888893E-2</v>
      </c>
      <c r="F73">
        <v>30</v>
      </c>
      <c r="G73">
        <v>0.47509108744394601</v>
      </c>
    </row>
    <row r="74" spans="1:7">
      <c r="A74" t="s">
        <v>295</v>
      </c>
      <c r="B74" t="s">
        <v>1072</v>
      </c>
      <c r="C74" s="19">
        <v>0.34008101851851852</v>
      </c>
      <c r="D74" s="19">
        <v>0.16811342592592593</v>
      </c>
      <c r="E74" s="19">
        <v>9.1597222222222219E-2</v>
      </c>
      <c r="F74">
        <v>31</v>
      </c>
      <c r="G74">
        <v>0.47578531804104401</v>
      </c>
    </row>
    <row r="75" spans="1:7">
      <c r="A75" t="s">
        <v>299</v>
      </c>
      <c r="B75" t="s">
        <v>1073</v>
      </c>
      <c r="C75" s="19">
        <v>0.33415509259259263</v>
      </c>
      <c r="D75" s="19">
        <v>0.16863425925925926</v>
      </c>
      <c r="E75" s="19">
        <v>0.10168981481481482</v>
      </c>
      <c r="F75">
        <v>32</v>
      </c>
      <c r="G75">
        <v>0.46898271622042897</v>
      </c>
    </row>
    <row r="76" spans="1:7">
      <c r="A76" t="s">
        <v>302</v>
      </c>
      <c r="B76" t="s">
        <v>1074</v>
      </c>
      <c r="C76" s="19">
        <v>0.34437500000000004</v>
      </c>
      <c r="D76" s="19">
        <v>0.18534722222222222</v>
      </c>
      <c r="E76" s="19">
        <v>8.0162037037037046E-2</v>
      </c>
      <c r="F76">
        <v>33</v>
      </c>
      <c r="G76">
        <v>0.51361161524500898</v>
      </c>
    </row>
    <row r="77" spans="1:7">
      <c r="A77" t="s">
        <v>305</v>
      </c>
      <c r="B77" t="s">
        <v>1075</v>
      </c>
      <c r="C77" s="19">
        <v>0.3558101851851852</v>
      </c>
      <c r="D77" s="19">
        <v>0.21642361111111111</v>
      </c>
      <c r="E77" s="19">
        <v>6.8541666666666667E-2</v>
      </c>
      <c r="F77">
        <v>34</v>
      </c>
      <c r="G77">
        <v>0.525112224318522</v>
      </c>
    </row>
    <row r="78" spans="1:7">
      <c r="A78" t="s">
        <v>309</v>
      </c>
      <c r="B78" t="s">
        <v>1076</v>
      </c>
      <c r="C78" s="19">
        <v>0.34848379629629633</v>
      </c>
      <c r="D78" s="19">
        <v>0.12767361111111111</v>
      </c>
      <c r="E78" s="19">
        <v>0.17460648148148147</v>
      </c>
      <c r="F78">
        <v>35</v>
      </c>
      <c r="G78">
        <v>0.348600086352918</v>
      </c>
    </row>
    <row r="79" spans="1:7">
      <c r="A79" t="s">
        <v>315</v>
      </c>
      <c r="B79" t="s">
        <v>1077</v>
      </c>
      <c r="C79" s="19">
        <v>0.35092592592592592</v>
      </c>
      <c r="D79" s="19">
        <v>0.12086805555555556</v>
      </c>
      <c r="E79" s="19">
        <v>0.18131944444444445</v>
      </c>
      <c r="F79">
        <v>36</v>
      </c>
      <c r="G79">
        <v>0.314709762532982</v>
      </c>
    </row>
    <row r="80" spans="1:7">
      <c r="A80" t="s">
        <v>320</v>
      </c>
      <c r="B80" t="s">
        <v>1078</v>
      </c>
      <c r="C80" s="19">
        <v>0.33891203703703704</v>
      </c>
      <c r="D80" s="19">
        <v>0.21581018518518516</v>
      </c>
      <c r="E80" s="19">
        <v>4.8900462962962965E-2</v>
      </c>
      <c r="F80">
        <v>37</v>
      </c>
      <c r="G80">
        <v>0.55600710333993597</v>
      </c>
    </row>
    <row r="81" spans="1:7">
      <c r="A81" t="s">
        <v>323</v>
      </c>
      <c r="B81" t="s">
        <v>1079</v>
      </c>
      <c r="C81" s="19">
        <v>0.34675925925925927</v>
      </c>
      <c r="D81" s="19">
        <v>0.17275462962962962</v>
      </c>
      <c r="E81" s="19">
        <v>0.10935185185185185</v>
      </c>
      <c r="F81">
        <v>38</v>
      </c>
      <c r="G81">
        <v>0.46221628838451301</v>
      </c>
    </row>
    <row r="82" spans="1:7">
      <c r="A82" t="s">
        <v>328</v>
      </c>
      <c r="B82" t="s">
        <v>1080</v>
      </c>
      <c r="C82" s="19">
        <v>0.3511111111111111</v>
      </c>
      <c r="D82" s="19">
        <v>0.15339120370370371</v>
      </c>
      <c r="E82" s="19">
        <v>0.13890046296296296</v>
      </c>
      <c r="F82">
        <v>39</v>
      </c>
      <c r="G82">
        <v>0.39075685654008402</v>
      </c>
    </row>
    <row r="83" spans="1:7">
      <c r="A83" t="s">
        <v>333</v>
      </c>
      <c r="B83" t="s">
        <v>1081</v>
      </c>
      <c r="C83" s="19">
        <v>0.3447453703703704</v>
      </c>
      <c r="D83" s="19">
        <v>0.21947916666666667</v>
      </c>
      <c r="E83" s="19">
        <v>4.7592592592592596E-2</v>
      </c>
      <c r="F83">
        <v>40</v>
      </c>
      <c r="G83">
        <v>0.54713623850130899</v>
      </c>
    </row>
    <row r="84" spans="1:7">
      <c r="A84" t="s">
        <v>337</v>
      </c>
      <c r="B84" t="s">
        <v>1082</v>
      </c>
      <c r="C84" s="19">
        <v>0.3167476851851852</v>
      </c>
      <c r="D84" s="19">
        <v>0.21346064814814814</v>
      </c>
      <c r="E84" s="19">
        <v>2.1064814814814814E-2</v>
      </c>
      <c r="F84">
        <v>41</v>
      </c>
      <c r="G84">
        <v>0.61457229509993805</v>
      </c>
    </row>
    <row r="85" spans="1:7">
      <c r="A85" t="s">
        <v>339</v>
      </c>
      <c r="B85" t="s">
        <v>1083</v>
      </c>
      <c r="C85" s="19">
        <v>0.34024305555555556</v>
      </c>
      <c r="D85" s="19">
        <v>0.21100694444444446</v>
      </c>
      <c r="E85" s="19">
        <v>4.7731481481481486E-2</v>
      </c>
      <c r="F85">
        <v>42</v>
      </c>
      <c r="G85">
        <v>0.55335578460387103</v>
      </c>
    </row>
    <row r="86" spans="1:7">
      <c r="A86" t="s">
        <v>342</v>
      </c>
      <c r="B86" t="s">
        <v>1084</v>
      </c>
      <c r="C86" s="19">
        <v>0.33611111111111108</v>
      </c>
      <c r="D86" s="19">
        <v>0.21214120370370371</v>
      </c>
      <c r="E86" s="19">
        <v>4.7500000000000007E-2</v>
      </c>
      <c r="F86">
        <v>43</v>
      </c>
      <c r="G86">
        <v>0.611363636363636</v>
      </c>
    </row>
    <row r="87" spans="1:7">
      <c r="A87" t="s">
        <v>345</v>
      </c>
      <c r="B87" t="s">
        <v>1085</v>
      </c>
      <c r="C87" s="19">
        <v>0.3331365740740741</v>
      </c>
      <c r="D87" s="19">
        <v>0.18670138888888888</v>
      </c>
      <c r="E87" s="19">
        <v>6.7430555555555563E-2</v>
      </c>
      <c r="F87">
        <v>44</v>
      </c>
      <c r="G87">
        <v>0.51217732689434703</v>
      </c>
    </row>
    <row r="88" spans="1:7">
      <c r="A88" t="s">
        <v>350</v>
      </c>
      <c r="B88" t="s">
        <v>1086</v>
      </c>
      <c r="C88" s="19">
        <v>0.35135416666666663</v>
      </c>
      <c r="D88" s="19">
        <v>0.20708333333333331</v>
      </c>
      <c r="E88" s="19">
        <v>5.4953703703703706E-2</v>
      </c>
      <c r="F88">
        <v>45</v>
      </c>
      <c r="G88">
        <v>0.56029910728991705</v>
      </c>
    </row>
    <row r="89" spans="1:7">
      <c r="A89" t="s">
        <v>354</v>
      </c>
      <c r="B89" t="s">
        <v>1087</v>
      </c>
      <c r="C89" s="19">
        <v>0.34356481481481477</v>
      </c>
      <c r="D89" s="19">
        <v>0.16344907407407408</v>
      </c>
      <c r="E89" s="19">
        <v>0.10712962962962963</v>
      </c>
      <c r="F89">
        <v>46</v>
      </c>
      <c r="G89">
        <v>0.42891793558819602</v>
      </c>
    </row>
    <row r="90" spans="1:7">
      <c r="A90" t="s">
        <v>360</v>
      </c>
      <c r="B90" t="s">
        <v>1088</v>
      </c>
      <c r="C90" s="19">
        <v>0.34900462962962964</v>
      </c>
      <c r="D90" s="19">
        <v>3.3715277777777775E-2</v>
      </c>
      <c r="E90" s="19">
        <v>0.29744212962962963</v>
      </c>
      <c r="F90">
        <v>47</v>
      </c>
      <c r="G90">
        <v>9.4547987000066294E-2</v>
      </c>
    </row>
    <row r="91" spans="1:7">
      <c r="A91" t="s">
        <v>367</v>
      </c>
      <c r="B91" t="s">
        <v>1089</v>
      </c>
      <c r="C91" s="19">
        <v>0.33378472222222227</v>
      </c>
      <c r="D91" s="19">
        <v>0.21655092592592592</v>
      </c>
      <c r="E91" s="19">
        <v>5.004629629629629E-2</v>
      </c>
      <c r="F91">
        <v>48</v>
      </c>
      <c r="G91">
        <v>0.61021533340268397</v>
      </c>
    </row>
    <row r="92" spans="1:7">
      <c r="A92" t="s">
        <v>371</v>
      </c>
      <c r="B92" t="s">
        <v>1089</v>
      </c>
      <c r="C92" s="19">
        <v>0.34559027777777779</v>
      </c>
      <c r="D92" s="19">
        <v>0.2011574074074074</v>
      </c>
      <c r="E92" s="19">
        <v>8.790509259259259E-2</v>
      </c>
      <c r="F92">
        <v>49</v>
      </c>
      <c r="G92">
        <v>0.51260926353863201</v>
      </c>
    </row>
    <row r="93" spans="1:7">
      <c r="A93" t="s">
        <v>374</v>
      </c>
      <c r="B93" t="s">
        <v>1090</v>
      </c>
      <c r="C93" s="19">
        <v>0.21146990740740743</v>
      </c>
      <c r="D93" s="19">
        <v>0.14190972222222223</v>
      </c>
      <c r="E93" s="19">
        <v>1.6979166666666667E-2</v>
      </c>
      <c r="F93">
        <v>50</v>
      </c>
      <c r="G93">
        <v>0.62426796562859199</v>
      </c>
    </row>
    <row r="94" spans="1:7">
      <c r="A94" t="s">
        <v>379</v>
      </c>
      <c r="B94" t="s">
        <v>1091</v>
      </c>
      <c r="C94" s="19">
        <v>0.34075231481481483</v>
      </c>
      <c r="D94" s="19">
        <v>0.1976273148148148</v>
      </c>
      <c r="E94" s="19">
        <v>4.8240740740740744E-2</v>
      </c>
      <c r="F94">
        <v>51</v>
      </c>
      <c r="G94">
        <v>0.54373153085832704</v>
      </c>
    </row>
    <row r="95" spans="1:7">
      <c r="A95" t="s">
        <v>381</v>
      </c>
      <c r="B95" t="s">
        <v>1092</v>
      </c>
      <c r="C95" s="19">
        <v>0.34390046296296295</v>
      </c>
      <c r="D95" t="e">
        <v>#VALUE!</v>
      </c>
      <c r="E95" s="19">
        <v>0.34385416666666663</v>
      </c>
      <c r="F95">
        <v>52</v>
      </c>
      <c r="G95">
        <v>0</v>
      </c>
    </row>
    <row r="96" spans="1:7">
      <c r="A96" t="s">
        <v>386</v>
      </c>
      <c r="B96" t="s">
        <v>1093</v>
      </c>
      <c r="C96" s="19">
        <v>0.33532407407407411</v>
      </c>
      <c r="D96" s="19">
        <v>5.0763888888888886E-2</v>
      </c>
      <c r="E96" s="19">
        <v>0.27759259259259261</v>
      </c>
      <c r="F96">
        <v>53</v>
      </c>
      <c r="G96">
        <v>0.14431174927516199</v>
      </c>
    </row>
    <row r="97" spans="1:7">
      <c r="A97" t="s">
        <v>391</v>
      </c>
      <c r="B97" t="s">
        <v>1094</v>
      </c>
      <c r="C97" s="19">
        <v>0.34682870370370367</v>
      </c>
      <c r="D97" s="19">
        <v>0.20351851851851852</v>
      </c>
      <c r="E97" s="19">
        <v>5.122685185185185E-2</v>
      </c>
      <c r="F97">
        <v>54</v>
      </c>
      <c r="G97">
        <v>0.55259293866381898</v>
      </c>
    </row>
    <row r="98" spans="1:7">
      <c r="A98" t="s">
        <v>396</v>
      </c>
      <c r="B98" t="s">
        <v>1095</v>
      </c>
      <c r="C98" s="19">
        <v>0.33483796296296298</v>
      </c>
      <c r="D98" s="19">
        <v>6.6759259259259254E-2</v>
      </c>
      <c r="E98" s="19">
        <v>0.23973379629629629</v>
      </c>
      <c r="F98">
        <v>55</v>
      </c>
      <c r="G98">
        <v>0.18938817836156199</v>
      </c>
    </row>
    <row r="99" spans="1:7">
      <c r="A99" t="s">
        <v>400</v>
      </c>
      <c r="B99" t="s">
        <v>1096</v>
      </c>
      <c r="C99" s="19">
        <v>0.34770833333333334</v>
      </c>
      <c r="D99" s="19">
        <v>0.1784375</v>
      </c>
      <c r="E99" s="19">
        <v>8.6782407407407405E-2</v>
      </c>
      <c r="F99">
        <v>56</v>
      </c>
      <c r="G99">
        <v>0.47077424938419499</v>
      </c>
    </row>
    <row r="100" spans="1:7">
      <c r="A100" t="s">
        <v>405</v>
      </c>
      <c r="B100" t="s">
        <v>1097</v>
      </c>
      <c r="C100" s="19">
        <v>0.33384259259259258</v>
      </c>
      <c r="D100" s="19">
        <v>0.19934027777777777</v>
      </c>
      <c r="E100" s="19">
        <v>4.9467592592592591E-2</v>
      </c>
      <c r="F100">
        <v>57</v>
      </c>
      <c r="G100">
        <v>0.53862155040909698</v>
      </c>
    </row>
    <row r="101" spans="1:7">
      <c r="A101" t="s">
        <v>407</v>
      </c>
      <c r="B101" t="s">
        <v>1098</v>
      </c>
      <c r="C101" s="19">
        <v>0.3346412037037037</v>
      </c>
      <c r="D101" s="19">
        <v>0.19371527777777778</v>
      </c>
      <c r="E101" s="19">
        <v>4.8240740740740744E-2</v>
      </c>
      <c r="F101">
        <v>58</v>
      </c>
      <c r="G101">
        <v>0.53294365856189296</v>
      </c>
    </row>
    <row r="102" spans="1:7">
      <c r="A102" t="s">
        <v>410</v>
      </c>
      <c r="B102" t="s">
        <v>1099</v>
      </c>
      <c r="C102" s="19">
        <v>0.24574074074074073</v>
      </c>
      <c r="D102" s="19">
        <v>0.1202199074074074</v>
      </c>
      <c r="E102" s="19">
        <v>0.11229166666666668</v>
      </c>
      <c r="F102">
        <v>59</v>
      </c>
      <c r="G102">
        <v>0.41310286360211002</v>
      </c>
    </row>
    <row r="103" spans="1:7">
      <c r="A103" t="s">
        <v>415</v>
      </c>
      <c r="B103" t="s">
        <v>1100</v>
      </c>
      <c r="C103" s="19">
        <v>0.34446759259259263</v>
      </c>
      <c r="D103" s="19">
        <v>0.18254629629629629</v>
      </c>
      <c r="E103" s="19">
        <v>7.6817129629629624E-2</v>
      </c>
      <c r="F103">
        <v>60</v>
      </c>
      <c r="G103">
        <v>0.50483838451717</v>
      </c>
    </row>
    <row r="104" spans="1:7">
      <c r="A104" t="s">
        <v>418</v>
      </c>
      <c r="B104" t="s">
        <v>1101</v>
      </c>
      <c r="C104" s="19">
        <v>0.34423611111111113</v>
      </c>
      <c r="D104" s="19">
        <v>0.18436342592592592</v>
      </c>
      <c r="E104" s="19">
        <v>6.732638888888888E-2</v>
      </c>
      <c r="F104">
        <v>61</v>
      </c>
      <c r="G104">
        <v>0.52390558805729304</v>
      </c>
    </row>
    <row r="105" spans="1:7">
      <c r="A105" t="s">
        <v>423</v>
      </c>
      <c r="B105" t="s">
        <v>1102</v>
      </c>
      <c r="C105" s="19">
        <v>0.34479166666666666</v>
      </c>
      <c r="D105" s="19">
        <v>0.10450231481481481</v>
      </c>
      <c r="E105" s="19">
        <v>0.21383101851851852</v>
      </c>
      <c r="F105">
        <v>62</v>
      </c>
      <c r="G105">
        <v>0.25444780127559602</v>
      </c>
    </row>
    <row r="106" spans="1:7">
      <c r="A106" t="s">
        <v>429</v>
      </c>
      <c r="B106" t="s">
        <v>1103</v>
      </c>
      <c r="C106" s="19">
        <v>0.33458333333333329</v>
      </c>
      <c r="D106" s="19">
        <v>0.20292824074074076</v>
      </c>
      <c r="E106" s="19">
        <v>5.092592592592593E-2</v>
      </c>
      <c r="F106">
        <v>63</v>
      </c>
      <c r="G106">
        <v>0.55517503805174995</v>
      </c>
    </row>
    <row r="107" spans="1:7">
      <c r="A107" t="s">
        <v>433</v>
      </c>
      <c r="B107" t="s">
        <v>1104</v>
      </c>
      <c r="C107" s="19">
        <v>0.34524305555555551</v>
      </c>
      <c r="D107" t="e">
        <v>#VALUE!</v>
      </c>
      <c r="E107" s="19">
        <v>0.34513888888888888</v>
      </c>
      <c r="F107">
        <v>64</v>
      </c>
      <c r="G107">
        <v>0</v>
      </c>
    </row>
    <row r="108" spans="1:7">
      <c r="A108" t="s">
        <v>437</v>
      </c>
      <c r="B108" t="s">
        <v>1105</v>
      </c>
      <c r="C108" s="19">
        <v>0.34424768518518517</v>
      </c>
      <c r="D108" s="19">
        <v>0.17256944444444444</v>
      </c>
      <c r="E108" s="19">
        <v>9.0462962962962967E-2</v>
      </c>
      <c r="F108">
        <v>65</v>
      </c>
      <c r="G108">
        <v>0.477120667047709</v>
      </c>
    </row>
    <row r="109" spans="1:7">
      <c r="A109" t="s">
        <v>440</v>
      </c>
      <c r="B109" t="s">
        <v>1106</v>
      </c>
      <c r="C109" s="19">
        <v>0.35488425925925932</v>
      </c>
      <c r="D109" s="19">
        <v>0.23307870370370373</v>
      </c>
      <c r="E109" s="19">
        <v>3.7349537037037035E-2</v>
      </c>
      <c r="F109">
        <v>66</v>
      </c>
      <c r="G109">
        <v>0.61917030852521004</v>
      </c>
    </row>
    <row r="110" spans="1:7">
      <c r="A110" t="s">
        <v>444</v>
      </c>
      <c r="B110" t="s">
        <v>1107</v>
      </c>
      <c r="C110" s="19">
        <v>0.33346064814814813</v>
      </c>
      <c r="D110" s="19">
        <v>0.2029050925925926</v>
      </c>
      <c r="E110" s="19">
        <v>4.8194444444444449E-2</v>
      </c>
      <c r="F110">
        <v>67</v>
      </c>
      <c r="G110">
        <v>0.55305265350039901</v>
      </c>
    </row>
    <row r="111" spans="1:7">
      <c r="A111" t="s">
        <v>446</v>
      </c>
      <c r="B111" t="s">
        <v>1108</v>
      </c>
      <c r="C111" s="19">
        <v>0.34430555555555559</v>
      </c>
      <c r="D111" s="19">
        <v>0.20876157407407406</v>
      </c>
      <c r="E111" s="19">
        <v>4.7685185185185185E-2</v>
      </c>
      <c r="F111">
        <v>68</v>
      </c>
      <c r="G111">
        <v>0.56195374478956595</v>
      </c>
    </row>
    <row r="112" spans="1:7">
      <c r="A112" t="s">
        <v>450</v>
      </c>
      <c r="B112" t="s">
        <v>1109</v>
      </c>
      <c r="C112" s="19">
        <v>0.34439814814814818</v>
      </c>
      <c r="D112" s="19">
        <v>0.19284722222222225</v>
      </c>
      <c r="E112" s="19">
        <v>8.2974537037037041E-2</v>
      </c>
      <c r="F112">
        <v>69</v>
      </c>
      <c r="G112">
        <v>0.48780077967468699</v>
      </c>
    </row>
    <row r="113" spans="1:7">
      <c r="A113" t="s">
        <v>454</v>
      </c>
      <c r="B113" t="s">
        <v>1110</v>
      </c>
      <c r="C113" s="19">
        <v>0.34435185185185185</v>
      </c>
      <c r="D113" s="19">
        <v>0.20849537037037036</v>
      </c>
      <c r="E113" s="19">
        <v>4.8414351851851854E-2</v>
      </c>
      <c r="F113">
        <v>70</v>
      </c>
      <c r="G113">
        <v>0.55414762032804499</v>
      </c>
    </row>
    <row r="114" spans="1:7">
      <c r="A114" t="s">
        <v>457</v>
      </c>
      <c r="B114" t="s">
        <v>1111</v>
      </c>
      <c r="C114" s="19">
        <v>0.33491898148148147</v>
      </c>
      <c r="D114" s="19">
        <v>0.21258101851851852</v>
      </c>
      <c r="E114" s="19">
        <v>4.8784722222222222E-2</v>
      </c>
      <c r="F114">
        <v>71</v>
      </c>
      <c r="G114">
        <v>0.58651553374572396</v>
      </c>
    </row>
    <row r="115" spans="1:7">
      <c r="A115" t="s">
        <v>461</v>
      </c>
      <c r="B115" t="s">
        <v>1112</v>
      </c>
      <c r="C115" s="19">
        <v>0.34442129629629631</v>
      </c>
      <c r="D115" s="19">
        <v>0.22203703703703703</v>
      </c>
      <c r="E115" s="19">
        <v>5.1342592592592586E-2</v>
      </c>
      <c r="F115">
        <v>72</v>
      </c>
      <c r="G115">
        <v>0.58165871362322696</v>
      </c>
    </row>
    <row r="116" spans="1:7">
      <c r="A116" t="s">
        <v>464</v>
      </c>
      <c r="B116" t="s">
        <v>1113</v>
      </c>
      <c r="C116" s="19">
        <v>0.33370370370370367</v>
      </c>
      <c r="D116" s="19">
        <v>0.21053240740740742</v>
      </c>
      <c r="E116" s="19">
        <v>4.8472222222222222E-2</v>
      </c>
      <c r="F116">
        <v>73</v>
      </c>
      <c r="G116">
        <v>0.59073251942286398</v>
      </c>
    </row>
    <row r="117" spans="1:7">
      <c r="A117" t="s">
        <v>466</v>
      </c>
      <c r="B117" t="s">
        <v>1113</v>
      </c>
      <c r="C117" s="19">
        <v>0.34518518518518521</v>
      </c>
      <c r="D117" s="19">
        <v>0.21524305555555556</v>
      </c>
      <c r="E117" s="19">
        <v>4.9282407407407407E-2</v>
      </c>
      <c r="F117">
        <v>74</v>
      </c>
      <c r="G117">
        <v>0.58640692060085797</v>
      </c>
    </row>
    <row r="118" spans="1:7">
      <c r="A118" t="s">
        <v>468</v>
      </c>
      <c r="B118" t="s">
        <v>1113</v>
      </c>
      <c r="C118" s="19">
        <v>0.3354050925925926</v>
      </c>
      <c r="D118" s="19">
        <v>0.19744212962962962</v>
      </c>
      <c r="E118" s="19">
        <v>5.0011574074074076E-2</v>
      </c>
      <c r="F118">
        <v>75</v>
      </c>
      <c r="G118">
        <v>0.54653369681493502</v>
      </c>
    </row>
    <row r="119" spans="1:7">
      <c r="A119" t="s">
        <v>472</v>
      </c>
      <c r="B119" t="s">
        <v>1114</v>
      </c>
      <c r="C119" s="19">
        <v>0.33627314814814818</v>
      </c>
      <c r="D119" s="19">
        <v>0.18991898148148148</v>
      </c>
      <c r="E119" s="19">
        <v>6.4317129629629641E-2</v>
      </c>
      <c r="F119">
        <v>76</v>
      </c>
      <c r="G119">
        <v>0.53238796723342696</v>
      </c>
    </row>
    <row r="120" spans="1:7">
      <c r="A120" t="s">
        <v>476</v>
      </c>
      <c r="B120" t="s">
        <v>1115</v>
      </c>
      <c r="C120" s="19">
        <v>0.33471064814814816</v>
      </c>
      <c r="D120" s="19">
        <v>0.18868055555555555</v>
      </c>
      <c r="E120" s="19">
        <v>7.3344907407407414E-2</v>
      </c>
      <c r="F120">
        <v>77</v>
      </c>
      <c r="G120">
        <v>0.47020989660776702</v>
      </c>
    </row>
    <row r="121" spans="1:7">
      <c r="A121" t="s">
        <v>481</v>
      </c>
      <c r="B121" t="s">
        <v>1116</v>
      </c>
      <c r="C121" s="19">
        <v>0.33974537037037034</v>
      </c>
      <c r="D121" s="19">
        <v>0.20261574074074074</v>
      </c>
      <c r="E121" s="19">
        <v>4.7754629629629626E-2</v>
      </c>
      <c r="F121">
        <v>78</v>
      </c>
      <c r="G121">
        <v>0.54633099407235797</v>
      </c>
    </row>
    <row r="122" spans="1:7">
      <c r="A122" t="s">
        <v>484</v>
      </c>
      <c r="B122" t="s">
        <v>1117</v>
      </c>
      <c r="C122" s="19">
        <v>0.34557870370370369</v>
      </c>
      <c r="D122" s="19">
        <v>0.1431597222222222</v>
      </c>
      <c r="E122" s="19">
        <v>0.15493055555555554</v>
      </c>
      <c r="F122">
        <v>79</v>
      </c>
      <c r="G122">
        <v>0.38820416638756799</v>
      </c>
    </row>
    <row r="123" spans="1:7">
      <c r="A123" t="s">
        <v>488</v>
      </c>
      <c r="B123" t="s">
        <v>1118</v>
      </c>
      <c r="C123" s="19">
        <v>0.33189814814814816</v>
      </c>
      <c r="D123" s="19">
        <v>0.1439236111111111</v>
      </c>
      <c r="E123" s="19">
        <v>0.13547453703703705</v>
      </c>
      <c r="F123">
        <v>80</v>
      </c>
      <c r="G123">
        <v>0.40277584042404802</v>
      </c>
    </row>
    <row r="124" spans="1:7">
      <c r="A124" t="s">
        <v>494</v>
      </c>
      <c r="B124" t="s">
        <v>1119</v>
      </c>
      <c r="C124" s="19">
        <v>0.34369212962962964</v>
      </c>
      <c r="D124" s="19">
        <v>0.22164351851851852</v>
      </c>
      <c r="E124" s="19">
        <v>4.8599537037037038E-2</v>
      </c>
      <c r="F124">
        <v>81</v>
      </c>
      <c r="G124">
        <v>0.54352584610203702</v>
      </c>
    </row>
    <row r="125" spans="1:7">
      <c r="A125" t="s">
        <v>495</v>
      </c>
      <c r="B125" t="s">
        <v>1120</v>
      </c>
      <c r="C125" s="19">
        <v>0.3548263888888889</v>
      </c>
      <c r="D125" s="19">
        <v>0.15355324074074075</v>
      </c>
      <c r="E125" s="19">
        <v>3.8645833333333331E-2</v>
      </c>
      <c r="F125">
        <v>82</v>
      </c>
      <c r="G125">
        <v>0.28371986821932998</v>
      </c>
    </row>
    <row r="126" spans="1:7">
      <c r="A126" t="s">
        <v>498</v>
      </c>
      <c r="B126" t="s">
        <v>1121</v>
      </c>
      <c r="C126" s="19">
        <v>0.36775462962962963</v>
      </c>
      <c r="D126" s="19">
        <v>0.21557870370370369</v>
      </c>
      <c r="E126" s="19">
        <v>7.048611111111111E-2</v>
      </c>
      <c r="F126">
        <v>83</v>
      </c>
      <c r="G126">
        <v>0.56196890539434796</v>
      </c>
    </row>
    <row r="127" spans="1:7">
      <c r="A127" t="s">
        <v>502</v>
      </c>
      <c r="B127" t="s">
        <v>1122</v>
      </c>
      <c r="C127" s="19">
        <v>0.35119212962962965</v>
      </c>
      <c r="D127" s="19">
        <v>0.15380787037037039</v>
      </c>
      <c r="E127" s="19">
        <v>0.14153935185185185</v>
      </c>
      <c r="F127">
        <v>84</v>
      </c>
      <c r="G127">
        <v>0.40332201825791802</v>
      </c>
    </row>
    <row r="128" spans="1:7">
      <c r="A128" t="s">
        <v>507</v>
      </c>
      <c r="B128" t="s">
        <v>1123</v>
      </c>
      <c r="C128" s="19">
        <v>0.34143518518518517</v>
      </c>
      <c r="D128" s="19">
        <v>0.17545138888888889</v>
      </c>
      <c r="E128" s="19">
        <v>9.5694444444444457E-2</v>
      </c>
      <c r="F128">
        <v>85</v>
      </c>
      <c r="G128">
        <v>0.43796610169491501</v>
      </c>
    </row>
    <row r="129" spans="1:7">
      <c r="A129" t="s">
        <v>511</v>
      </c>
      <c r="B129" t="s">
        <v>1124</v>
      </c>
      <c r="C129" s="19">
        <v>0.34533564814814816</v>
      </c>
      <c r="D129" s="19">
        <v>0.20476851851851852</v>
      </c>
      <c r="E129" s="19">
        <v>5.5231481481481486E-2</v>
      </c>
      <c r="F129">
        <v>86</v>
      </c>
      <c r="G129">
        <v>0.55581995508931903</v>
      </c>
    </row>
    <row r="130" spans="1:7">
      <c r="A130" t="s">
        <v>515</v>
      </c>
      <c r="B130" t="s">
        <v>1125</v>
      </c>
      <c r="C130" s="19">
        <v>0.34416666666666668</v>
      </c>
      <c r="D130" s="19">
        <v>0.12054398148148149</v>
      </c>
      <c r="E130" s="19">
        <v>0.19140046296296295</v>
      </c>
      <c r="F130">
        <v>87</v>
      </c>
      <c r="G130">
        <v>0.326035781544256</v>
      </c>
    </row>
    <row r="131" spans="1:7">
      <c r="A131" t="s">
        <v>520</v>
      </c>
      <c r="B131" t="s">
        <v>1126</v>
      </c>
      <c r="C131" s="19">
        <v>0.33975694444444443</v>
      </c>
      <c r="D131" s="19">
        <v>0.21278935185185185</v>
      </c>
      <c r="E131" s="19">
        <v>4.8506944444444443E-2</v>
      </c>
      <c r="F131">
        <v>88</v>
      </c>
      <c r="G131">
        <v>0.57404190086867701</v>
      </c>
    </row>
    <row r="132" spans="1:7">
      <c r="A132" t="s">
        <v>523</v>
      </c>
      <c r="B132" t="s">
        <v>1127</v>
      </c>
      <c r="C132" s="19">
        <v>0.33380787037037035</v>
      </c>
      <c r="D132" s="19">
        <v>0.1744212962962963</v>
      </c>
      <c r="E132" s="19">
        <v>8.1423611111111113E-2</v>
      </c>
      <c r="F132">
        <v>89</v>
      </c>
      <c r="G132">
        <v>0.45359037481363301</v>
      </c>
    </row>
    <row r="133" spans="1:7">
      <c r="A133" t="s">
        <v>526</v>
      </c>
      <c r="B133" t="s">
        <v>1128</v>
      </c>
      <c r="C133" s="19">
        <v>0.34012731481481479</v>
      </c>
      <c r="D133" s="19">
        <v>0.11028935185185185</v>
      </c>
      <c r="E133" s="19">
        <v>0.19189814814814818</v>
      </c>
      <c r="F133">
        <v>90</v>
      </c>
      <c r="G133">
        <v>0.29689998979140397</v>
      </c>
    </row>
    <row r="134" spans="1:7">
      <c r="A134" t="s">
        <v>530</v>
      </c>
      <c r="B134" t="s">
        <v>1129</v>
      </c>
      <c r="C134" s="19">
        <v>0.33354166666666668</v>
      </c>
      <c r="D134" s="19">
        <v>0.19138888888888891</v>
      </c>
      <c r="E134" s="19">
        <v>5.1666666666666666E-2</v>
      </c>
      <c r="F134">
        <v>91</v>
      </c>
      <c r="G134">
        <v>0.55729058227496697</v>
      </c>
    </row>
    <row r="135" spans="1:7">
      <c r="A135" t="s">
        <v>534</v>
      </c>
      <c r="B135" t="s">
        <v>1130</v>
      </c>
      <c r="C135" s="19">
        <v>0.3357175925925926</v>
      </c>
      <c r="D135" s="19">
        <v>0.12403935185185185</v>
      </c>
      <c r="E135" s="19">
        <v>0.1645486111111111</v>
      </c>
      <c r="F135">
        <v>92</v>
      </c>
      <c r="G135">
        <v>0.33279321519685601</v>
      </c>
    </row>
    <row r="136" spans="1:7">
      <c r="A136" t="s">
        <v>540</v>
      </c>
      <c r="B136" t="s">
        <v>1130</v>
      </c>
      <c r="C136" s="19">
        <v>0.33687500000000004</v>
      </c>
      <c r="D136" s="19">
        <v>0.17017361111111109</v>
      </c>
      <c r="E136" s="19">
        <v>9.5034722222222215E-2</v>
      </c>
      <c r="F136">
        <v>93</v>
      </c>
      <c r="G136">
        <v>0.472308115165258</v>
      </c>
    </row>
    <row r="137" spans="1:7">
      <c r="A137" t="s">
        <v>544</v>
      </c>
      <c r="B137" t="s">
        <v>1131</v>
      </c>
      <c r="C137" s="19">
        <v>0.33709490740740744</v>
      </c>
      <c r="D137" s="19">
        <v>0.18885416666666666</v>
      </c>
      <c r="E137" s="19">
        <v>8.7997685185185193E-2</v>
      </c>
      <c r="F137">
        <v>94</v>
      </c>
      <c r="G137">
        <v>0.51110729613733896</v>
      </c>
    </row>
    <row r="138" spans="1:7">
      <c r="A138" t="s">
        <v>549</v>
      </c>
      <c r="B138" t="s">
        <v>1132</v>
      </c>
      <c r="C138" s="19">
        <v>0.34307870370370369</v>
      </c>
      <c r="D138" s="19">
        <v>0.22166666666666668</v>
      </c>
      <c r="E138" s="19">
        <v>4.7395833333333331E-2</v>
      </c>
      <c r="F138">
        <v>95</v>
      </c>
      <c r="G138">
        <v>0.58886040078267299</v>
      </c>
    </row>
    <row r="139" spans="1:7">
      <c r="A139" t="s">
        <v>553</v>
      </c>
      <c r="B139" t="s">
        <v>1133</v>
      </c>
      <c r="C139" s="19">
        <v>0.31192129629629628</v>
      </c>
      <c r="D139" s="19">
        <v>0.12112268518518519</v>
      </c>
      <c r="E139" s="19">
        <v>0.1575462962962963</v>
      </c>
      <c r="F139">
        <v>96</v>
      </c>
      <c r="G139">
        <v>0.34289424860853401</v>
      </c>
    </row>
    <row r="140" spans="1:7">
      <c r="A140" t="s">
        <v>557</v>
      </c>
      <c r="B140" t="s">
        <v>1134</v>
      </c>
      <c r="C140" s="19">
        <v>0.35686342592592596</v>
      </c>
      <c r="D140" s="19">
        <v>0.19224537037037037</v>
      </c>
      <c r="E140" s="19">
        <v>9.5196759259259259E-2</v>
      </c>
      <c r="F140">
        <v>97</v>
      </c>
      <c r="G140">
        <v>0.497486459313074</v>
      </c>
    </row>
    <row r="141" spans="1:7">
      <c r="A141" t="s">
        <v>560</v>
      </c>
      <c r="B141" t="s">
        <v>1135</v>
      </c>
      <c r="C141" s="19">
        <v>0.34392361111111108</v>
      </c>
      <c r="D141" s="19">
        <v>0.20146990740740742</v>
      </c>
      <c r="E141" s="19">
        <v>4.8854166666666664E-2</v>
      </c>
      <c r="F141">
        <v>98</v>
      </c>
      <c r="G141">
        <v>0.52431431936732298</v>
      </c>
    </row>
    <row r="142" spans="1:7">
      <c r="A142" t="s">
        <v>562</v>
      </c>
      <c r="B142" t="s">
        <v>1136</v>
      </c>
      <c r="C142" s="19">
        <v>0.34658564814814818</v>
      </c>
      <c r="D142" s="19">
        <v>0.12475694444444445</v>
      </c>
      <c r="E142" s="19">
        <v>0.18931712962962963</v>
      </c>
      <c r="F142">
        <v>99</v>
      </c>
      <c r="G142">
        <v>0.31066956086157999</v>
      </c>
    </row>
    <row r="143" spans="1:7">
      <c r="A143" t="s">
        <v>568</v>
      </c>
      <c r="B143" t="s">
        <v>1137</v>
      </c>
      <c r="C143" s="19">
        <v>0.34281249999999996</v>
      </c>
      <c r="D143" s="19">
        <v>0.22505787037037037</v>
      </c>
      <c r="E143" s="19">
        <v>5.1898148148148145E-2</v>
      </c>
      <c r="F143">
        <v>100</v>
      </c>
      <c r="G143">
        <v>0.58462473412336702</v>
      </c>
    </row>
    <row r="144" spans="1:7">
      <c r="A144" t="s">
        <v>570</v>
      </c>
      <c r="B144" t="s">
        <v>1138</v>
      </c>
      <c r="C144" s="19">
        <v>0.35055555555555556</v>
      </c>
      <c r="D144" s="19">
        <v>0.11953703703703704</v>
      </c>
      <c r="E144" s="19">
        <v>0.21081018518518521</v>
      </c>
      <c r="F144">
        <v>101</v>
      </c>
      <c r="G144">
        <v>0.31685816164817698</v>
      </c>
    </row>
    <row r="145" spans="1:7">
      <c r="A145" t="s">
        <v>575</v>
      </c>
      <c r="B145" t="s">
        <v>1139</v>
      </c>
      <c r="C145" s="19">
        <v>0.34575231481481478</v>
      </c>
      <c r="D145" s="19">
        <v>0.20268518518518519</v>
      </c>
      <c r="E145" s="19">
        <v>5.004629629629629E-2</v>
      </c>
      <c r="F145">
        <v>102</v>
      </c>
      <c r="G145">
        <v>0.56375322197301903</v>
      </c>
    </row>
    <row r="146" spans="1:7">
      <c r="A146" t="s">
        <v>577</v>
      </c>
      <c r="B146" t="s">
        <v>1140</v>
      </c>
      <c r="C146" s="19">
        <v>0.35479166666666667</v>
      </c>
      <c r="D146" s="19">
        <v>0.21916666666666665</v>
      </c>
      <c r="E146" s="19">
        <v>3.8946759259259257E-2</v>
      </c>
      <c r="F146">
        <v>103</v>
      </c>
      <c r="G146">
        <v>0.54779147908918902</v>
      </c>
    </row>
    <row r="147" spans="1:7">
      <c r="A147" t="s">
        <v>580</v>
      </c>
      <c r="B147" t="s">
        <v>1141</v>
      </c>
      <c r="C147" s="19">
        <v>0.36542824074074076</v>
      </c>
      <c r="D147" s="19">
        <v>0.15059027777777778</v>
      </c>
      <c r="E147" s="19">
        <v>0.16840277777777779</v>
      </c>
      <c r="F147">
        <v>104</v>
      </c>
      <c r="G147">
        <v>0.37965983593576802</v>
      </c>
    </row>
    <row r="148" spans="1:7">
      <c r="A148" t="s">
        <v>586</v>
      </c>
      <c r="B148" t="s">
        <v>1142</v>
      </c>
      <c r="C148" s="19">
        <v>0.34370370370370368</v>
      </c>
      <c r="D148" s="19">
        <v>0.21891203703703702</v>
      </c>
      <c r="E148" s="19">
        <v>5.0127314814814812E-2</v>
      </c>
      <c r="F148">
        <v>105</v>
      </c>
      <c r="G148">
        <v>0.56529498922413801</v>
      </c>
    </row>
    <row r="149" spans="1:7">
      <c r="A149" t="s">
        <v>590</v>
      </c>
      <c r="B149" t="s">
        <v>1143</v>
      </c>
      <c r="C149" s="19">
        <v>0.20827546296296295</v>
      </c>
      <c r="D149" s="19">
        <v>0.1310300925925926</v>
      </c>
      <c r="E149" s="19">
        <v>1.045138888888889E-2</v>
      </c>
      <c r="F149">
        <v>106</v>
      </c>
      <c r="G149">
        <v>0.60261183662128404</v>
      </c>
    </row>
    <row r="150" spans="1:7">
      <c r="A150" t="s">
        <v>592</v>
      </c>
      <c r="B150" t="s">
        <v>1144</v>
      </c>
      <c r="C150" s="19">
        <v>0.35688657407407409</v>
      </c>
      <c r="D150" s="19">
        <v>0.19362268518518519</v>
      </c>
      <c r="E150" s="19">
        <v>9.5034722222222215E-2</v>
      </c>
      <c r="F150">
        <v>107</v>
      </c>
      <c r="G150">
        <v>0.49813523593319298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50"/>
  <sheetViews>
    <sheetView workbookViewId="0">
      <selection sqref="A1:G150"/>
    </sheetView>
  </sheetViews>
  <sheetFormatPr defaultRowHeight="15"/>
  <cols>
    <col min="1" max="1" width="12" customWidth="1"/>
    <col min="2" max="2" width="12.7109375" customWidth="1"/>
    <col min="3" max="3" width="29.85546875" customWidth="1"/>
    <col min="4" max="4" width="17.42578125" customWidth="1"/>
    <col min="5" max="5" width="18.7109375" customWidth="1"/>
    <col min="6" max="6" width="16.140625" customWidth="1"/>
    <col min="7" max="7" width="18.42578125" customWidth="1"/>
  </cols>
  <sheetData>
    <row r="1" spans="1:7">
      <c r="A1" t="s">
        <v>0</v>
      </c>
      <c r="B1" t="s">
        <v>1001</v>
      </c>
      <c r="C1" t="s">
        <v>1002</v>
      </c>
      <c r="D1" t="s">
        <v>597</v>
      </c>
      <c r="E1" t="s">
        <v>8</v>
      </c>
      <c r="F1" t="s">
        <v>598</v>
      </c>
      <c r="G1" t="s">
        <v>600</v>
      </c>
    </row>
    <row r="2" spans="1:7">
      <c r="A2" t="s">
        <v>9</v>
      </c>
      <c r="B2" t="s">
        <v>1004</v>
      </c>
      <c r="C2" s="19">
        <v>0.34424768518518517</v>
      </c>
      <c r="D2" s="19">
        <v>0.20693287037037036</v>
      </c>
      <c r="E2" s="19">
        <v>4.7708333333333332E-2</v>
      </c>
      <c r="F2">
        <v>98</v>
      </c>
      <c r="G2">
        <v>0.55697138822580095</v>
      </c>
    </row>
    <row r="3" spans="1:7">
      <c r="A3" t="s">
        <v>14</v>
      </c>
      <c r="B3" t="s">
        <v>1005</v>
      </c>
      <c r="C3" s="19">
        <v>0.34416666666666668</v>
      </c>
      <c r="D3" s="19">
        <v>0.20733796296296295</v>
      </c>
      <c r="E3" s="19">
        <v>4.8599537037037038E-2</v>
      </c>
      <c r="F3">
        <v>23</v>
      </c>
      <c r="G3">
        <v>0.58027306967984904</v>
      </c>
    </row>
    <row r="4" spans="1:7">
      <c r="A4" t="s">
        <v>18</v>
      </c>
      <c r="B4" t="s">
        <v>1006</v>
      </c>
      <c r="C4" s="19">
        <v>0.34510416666666671</v>
      </c>
      <c r="D4" s="19">
        <v>0.20109953703703706</v>
      </c>
      <c r="E4" s="19">
        <v>5.1319444444444445E-2</v>
      </c>
      <c r="F4">
        <v>28</v>
      </c>
      <c r="G4">
        <v>0.51708756749505302</v>
      </c>
    </row>
    <row r="5" spans="1:7">
      <c r="A5" t="s">
        <v>23</v>
      </c>
      <c r="B5" t="s">
        <v>1007</v>
      </c>
      <c r="C5" s="19">
        <v>0.34023148148148147</v>
      </c>
      <c r="D5" s="19">
        <v>0.17884259259259261</v>
      </c>
      <c r="E5" s="19">
        <v>9.6550925925925915E-2</v>
      </c>
      <c r="F5">
        <v>29</v>
      </c>
      <c r="G5">
        <v>0.47720778337188702</v>
      </c>
    </row>
    <row r="6" spans="1:7">
      <c r="A6" t="s">
        <v>28</v>
      </c>
      <c r="B6" t="s">
        <v>1008</v>
      </c>
      <c r="C6" s="19">
        <v>0.30603009259259256</v>
      </c>
      <c r="D6" s="19">
        <v>0.13870370370370369</v>
      </c>
      <c r="E6" s="19">
        <v>0.12844907407407408</v>
      </c>
      <c r="F6">
        <v>93</v>
      </c>
      <c r="G6">
        <v>0.43288831738587802</v>
      </c>
    </row>
    <row r="7" spans="1:7">
      <c r="A7" t="s">
        <v>33</v>
      </c>
      <c r="B7" t="s">
        <v>1009</v>
      </c>
      <c r="C7" s="19">
        <v>0.20843750000000003</v>
      </c>
      <c r="D7" s="19">
        <v>0.15369212962962964</v>
      </c>
      <c r="E7" s="19">
        <v>1.8831018518518518E-2</v>
      </c>
      <c r="F7">
        <v>92</v>
      </c>
      <c r="G7">
        <v>0.65495030262646503</v>
      </c>
    </row>
    <row r="8" spans="1:7">
      <c r="A8" t="s">
        <v>37</v>
      </c>
      <c r="B8" t="s">
        <v>1010</v>
      </c>
      <c r="C8" s="19">
        <v>0.34488425925925931</v>
      </c>
      <c r="D8" s="19">
        <v>0.17553240740740741</v>
      </c>
      <c r="E8" s="19">
        <v>0.11229166666666668</v>
      </c>
      <c r="F8">
        <v>26</v>
      </c>
      <c r="G8">
        <v>0.49476474931203401</v>
      </c>
    </row>
    <row r="9" spans="1:7">
      <c r="A9" t="s">
        <v>42</v>
      </c>
      <c r="B9" t="s">
        <v>1011</v>
      </c>
      <c r="C9" s="19">
        <v>0.38646990740740739</v>
      </c>
      <c r="D9" s="19">
        <v>0.24453703703703702</v>
      </c>
      <c r="E9" s="19">
        <v>5.0810185185185187E-2</v>
      </c>
      <c r="F9">
        <v>90</v>
      </c>
      <c r="G9">
        <v>0.55128627474469205</v>
      </c>
    </row>
    <row r="10" spans="1:7">
      <c r="A10" t="s">
        <v>46</v>
      </c>
      <c r="B10" t="s">
        <v>1012</v>
      </c>
      <c r="C10" s="19">
        <v>0.34256944444444448</v>
      </c>
      <c r="D10" s="19">
        <v>0.20311342592592593</v>
      </c>
      <c r="E10" s="19">
        <v>4.628472222222222E-2</v>
      </c>
      <c r="F10">
        <v>89</v>
      </c>
      <c r="G10">
        <v>0.55206432867085597</v>
      </c>
    </row>
    <row r="11" spans="1:7">
      <c r="A11" t="s">
        <v>50</v>
      </c>
      <c r="B11" t="s">
        <v>1013</v>
      </c>
      <c r="C11" s="19">
        <v>0.34769675925925925</v>
      </c>
      <c r="D11" s="19">
        <v>0.20702546296296295</v>
      </c>
      <c r="E11" s="19">
        <v>4.8576388888888884E-2</v>
      </c>
      <c r="F11">
        <v>54</v>
      </c>
      <c r="G11">
        <v>0.56868945774108703</v>
      </c>
    </row>
    <row r="12" spans="1:7">
      <c r="A12" t="s">
        <v>54</v>
      </c>
      <c r="B12" t="s">
        <v>1014</v>
      </c>
      <c r="C12" s="19">
        <v>0.34068287037037037</v>
      </c>
      <c r="D12" s="19">
        <v>0.20518518518518516</v>
      </c>
      <c r="E12" s="19">
        <v>4.809027777777778E-2</v>
      </c>
      <c r="F12">
        <v>87</v>
      </c>
      <c r="G12">
        <v>0.56035332087650802</v>
      </c>
    </row>
    <row r="13" spans="1:7">
      <c r="A13" t="s">
        <v>58</v>
      </c>
      <c r="B13" t="s">
        <v>1015</v>
      </c>
      <c r="C13" s="19">
        <v>0.33622685185185186</v>
      </c>
      <c r="D13" s="19">
        <v>0.15812499999999999</v>
      </c>
      <c r="E13" s="19">
        <v>0.12590277777777778</v>
      </c>
      <c r="F13">
        <v>65</v>
      </c>
      <c r="G13">
        <v>0.41552495697073999</v>
      </c>
    </row>
    <row r="14" spans="1:7">
      <c r="A14" t="s">
        <v>63</v>
      </c>
      <c r="B14" t="s">
        <v>1016</v>
      </c>
      <c r="C14" s="19">
        <v>0.34349537037037042</v>
      </c>
      <c r="D14" s="19">
        <v>0.19699074074074074</v>
      </c>
      <c r="E14" s="19">
        <v>8.7974537037037046E-2</v>
      </c>
      <c r="F14">
        <v>85</v>
      </c>
      <c r="G14">
        <v>0.50026955994339195</v>
      </c>
    </row>
    <row r="15" spans="1:7">
      <c r="A15" t="s">
        <v>68</v>
      </c>
      <c r="B15" t="s">
        <v>1017</v>
      </c>
      <c r="C15" s="19">
        <v>0.33321759259259259</v>
      </c>
      <c r="D15" s="19">
        <v>0.19475694444444444</v>
      </c>
      <c r="E15" s="19">
        <v>4.9004629629629627E-2</v>
      </c>
      <c r="F15">
        <v>65</v>
      </c>
      <c r="G15">
        <v>0.51396318166029897</v>
      </c>
    </row>
    <row r="16" spans="1:7">
      <c r="A16" t="s">
        <v>72</v>
      </c>
      <c r="B16" t="s">
        <v>1018</v>
      </c>
      <c r="C16" s="19">
        <v>0.34512731481481485</v>
      </c>
      <c r="D16" s="19">
        <v>0.2066550925925926</v>
      </c>
      <c r="E16" s="19">
        <v>5.3460648148148153E-2</v>
      </c>
      <c r="F16">
        <v>83</v>
      </c>
      <c r="G16">
        <v>0.510580502364264</v>
      </c>
    </row>
    <row r="17" spans="1:7">
      <c r="A17" t="s">
        <v>76</v>
      </c>
      <c r="B17" t="s">
        <v>1019</v>
      </c>
      <c r="C17" s="19">
        <v>0.34531249999999997</v>
      </c>
      <c r="D17" s="19">
        <v>0.17390046296296294</v>
      </c>
      <c r="E17" s="19">
        <v>0.10023148148148148</v>
      </c>
      <c r="F17">
        <v>82</v>
      </c>
      <c r="G17">
        <v>0.48292274174627098</v>
      </c>
    </row>
    <row r="18" spans="1:7">
      <c r="A18" t="s">
        <v>81</v>
      </c>
      <c r="B18" t="s">
        <v>1019</v>
      </c>
      <c r="C18" s="19">
        <v>0.32848379629629632</v>
      </c>
      <c r="D18" s="19">
        <v>0.1973611111111111</v>
      </c>
      <c r="E18" s="19">
        <v>3.9224537037037037E-2</v>
      </c>
      <c r="F18">
        <v>81</v>
      </c>
      <c r="G18">
        <v>0.57362319861879396</v>
      </c>
    </row>
    <row r="19" spans="1:7">
      <c r="A19" t="s">
        <v>85</v>
      </c>
      <c r="B19" t="s">
        <v>1019</v>
      </c>
      <c r="C19" s="19">
        <v>0.34494212962962961</v>
      </c>
      <c r="D19" s="19">
        <v>0.20702546296296295</v>
      </c>
      <c r="E19" s="19">
        <v>4.8692129629629627E-2</v>
      </c>
      <c r="F19">
        <v>80</v>
      </c>
      <c r="G19">
        <v>0.56430560681810604</v>
      </c>
    </row>
    <row r="20" spans="1:7">
      <c r="A20" t="s">
        <v>88</v>
      </c>
      <c r="B20" t="s">
        <v>1019</v>
      </c>
      <c r="C20" s="19">
        <v>0.34810185185185188</v>
      </c>
      <c r="D20" s="19">
        <v>0.18267361111111111</v>
      </c>
      <c r="E20" s="19">
        <v>0.11122685185185184</v>
      </c>
      <c r="F20">
        <v>79</v>
      </c>
      <c r="G20">
        <v>0.46974331693044302</v>
      </c>
    </row>
    <row r="21" spans="1:7">
      <c r="A21" t="s">
        <v>94</v>
      </c>
      <c r="B21" t="s">
        <v>1020</v>
      </c>
      <c r="C21" s="19">
        <v>0.34574074074074074</v>
      </c>
      <c r="D21" s="19">
        <v>0.20710648148148147</v>
      </c>
      <c r="E21" s="19">
        <v>5.1736111111111115E-2</v>
      </c>
      <c r="F21">
        <v>78</v>
      </c>
      <c r="G21">
        <v>0.57495313336904097</v>
      </c>
    </row>
    <row r="22" spans="1:7">
      <c r="A22" t="s">
        <v>99</v>
      </c>
      <c r="B22" t="s">
        <v>1021</v>
      </c>
      <c r="C22" s="19">
        <v>0.3428356481481481</v>
      </c>
      <c r="D22" s="19">
        <v>0.20393518518518516</v>
      </c>
      <c r="E22" s="19">
        <v>4.6516203703703705E-2</v>
      </c>
      <c r="F22">
        <v>77</v>
      </c>
      <c r="G22">
        <v>0.57945376590932096</v>
      </c>
    </row>
    <row r="23" spans="1:7">
      <c r="A23" t="s">
        <v>103</v>
      </c>
      <c r="B23" t="s">
        <v>1022</v>
      </c>
      <c r="C23" s="19">
        <v>0.34553240740740737</v>
      </c>
      <c r="D23" s="19">
        <v>0.20821759259259257</v>
      </c>
      <c r="E23" s="19">
        <v>4.8460648148148149E-2</v>
      </c>
      <c r="F23">
        <v>76</v>
      </c>
      <c r="G23">
        <v>0.588296375695049</v>
      </c>
    </row>
    <row r="24" spans="1:7">
      <c r="A24" t="s">
        <v>107</v>
      </c>
      <c r="B24" t="s">
        <v>1023</v>
      </c>
      <c r="C24" s="19">
        <v>0.32064814814814818</v>
      </c>
      <c r="D24" s="19">
        <v>0.17288194444444446</v>
      </c>
      <c r="E24" s="19">
        <v>9.0486111111111114E-2</v>
      </c>
      <c r="F24">
        <v>75</v>
      </c>
      <c r="G24">
        <v>0.46267686976609901</v>
      </c>
    </row>
    <row r="25" spans="1:7">
      <c r="A25" t="s">
        <v>112</v>
      </c>
      <c r="B25" t="s">
        <v>1024</v>
      </c>
      <c r="C25" s="19">
        <v>0.34032407407407406</v>
      </c>
      <c r="D25" s="19">
        <v>0.17644675925925926</v>
      </c>
      <c r="E25" s="19">
        <v>9.116898148148149E-2</v>
      </c>
      <c r="F25">
        <v>74</v>
      </c>
      <c r="G25">
        <v>0.478030199972793</v>
      </c>
    </row>
    <row r="26" spans="1:7">
      <c r="A26" t="s">
        <v>117</v>
      </c>
      <c r="B26" t="s">
        <v>1025</v>
      </c>
      <c r="C26" s="19">
        <v>0.34328703703703706</v>
      </c>
      <c r="D26" s="19">
        <v>0.22703703703703704</v>
      </c>
      <c r="E26" s="19">
        <v>5.0625000000000003E-2</v>
      </c>
      <c r="F26">
        <v>73</v>
      </c>
      <c r="G26">
        <v>0.59983142279163904</v>
      </c>
    </row>
    <row r="27" spans="1:7">
      <c r="A27" t="s">
        <v>121</v>
      </c>
      <c r="B27" t="s">
        <v>1026</v>
      </c>
      <c r="C27" s="19">
        <v>0.31663194444444448</v>
      </c>
      <c r="D27" s="19">
        <v>0.21199074074074076</v>
      </c>
      <c r="E27" s="19">
        <v>2.1180555555555553E-2</v>
      </c>
      <c r="F27">
        <v>72</v>
      </c>
      <c r="G27">
        <v>0.65029060203969702</v>
      </c>
    </row>
    <row r="28" spans="1:7">
      <c r="A28" t="s">
        <v>124</v>
      </c>
      <c r="B28" t="s">
        <v>1027</v>
      </c>
      <c r="C28" s="19">
        <v>0.34512731481481485</v>
      </c>
      <c r="D28" s="19">
        <v>0.20607638888888888</v>
      </c>
      <c r="E28" s="19">
        <v>4.9768518518518517E-2</v>
      </c>
      <c r="F28">
        <v>71</v>
      </c>
      <c r="G28">
        <v>0.55001844461584903</v>
      </c>
    </row>
    <row r="29" spans="1:7">
      <c r="A29" t="s">
        <v>128</v>
      </c>
      <c r="B29" t="s">
        <v>1028</v>
      </c>
      <c r="C29" s="19">
        <v>0.34297453703703701</v>
      </c>
      <c r="D29" s="19">
        <v>0.21273148148148147</v>
      </c>
      <c r="E29" s="19">
        <v>4.8645833333333333E-2</v>
      </c>
      <c r="F29">
        <v>70</v>
      </c>
      <c r="G29">
        <v>0.51334660682347399</v>
      </c>
    </row>
    <row r="30" spans="1:7">
      <c r="A30" t="s">
        <v>132</v>
      </c>
      <c r="B30" t="s">
        <v>1029</v>
      </c>
      <c r="C30" s="19">
        <v>0.34387731481481482</v>
      </c>
      <c r="D30" s="19">
        <v>0.17480324074074075</v>
      </c>
      <c r="E30" s="19">
        <v>0.11449074074074074</v>
      </c>
      <c r="F30">
        <v>69</v>
      </c>
      <c r="G30">
        <v>0.43603379219817601</v>
      </c>
    </row>
    <row r="31" spans="1:7">
      <c r="A31" t="s">
        <v>138</v>
      </c>
      <c r="B31" t="s">
        <v>1030</v>
      </c>
      <c r="C31" s="19">
        <v>0.31069444444444444</v>
      </c>
      <c r="D31" s="19">
        <v>0.1912962962962963</v>
      </c>
      <c r="E31" s="19">
        <v>5.5787037037037031E-2</v>
      </c>
      <c r="F31">
        <v>68</v>
      </c>
      <c r="G31">
        <v>0.52954105200417201</v>
      </c>
    </row>
    <row r="32" spans="1:7">
      <c r="A32" t="s">
        <v>143</v>
      </c>
      <c r="B32" t="s">
        <v>1031</v>
      </c>
      <c r="C32" s="19">
        <v>0.33329861111111109</v>
      </c>
      <c r="D32" s="19">
        <v>0.21824074074074074</v>
      </c>
      <c r="E32" s="19">
        <v>4.809027777777778E-2</v>
      </c>
      <c r="F32">
        <v>67</v>
      </c>
      <c r="G32">
        <v>0.56446852102649603</v>
      </c>
    </row>
    <row r="33" spans="1:7">
      <c r="A33" t="s">
        <v>145</v>
      </c>
      <c r="B33" t="s">
        <v>1032</v>
      </c>
      <c r="C33" s="19">
        <v>0.34564814814814815</v>
      </c>
      <c r="D33" s="19">
        <v>0.21184027777777778</v>
      </c>
      <c r="E33" s="19">
        <v>8.9745370370370378E-2</v>
      </c>
      <c r="F33">
        <v>66</v>
      </c>
      <c r="G33">
        <v>0.49789043664612898</v>
      </c>
    </row>
    <row r="34" spans="1:7">
      <c r="A34" t="s">
        <v>150</v>
      </c>
      <c r="B34" t="s">
        <v>1033</v>
      </c>
      <c r="C34" s="19">
        <v>0.34664351851851855</v>
      </c>
      <c r="D34" s="19">
        <v>0.20781249999999998</v>
      </c>
      <c r="E34" s="19">
        <v>4.7951388888888891E-2</v>
      </c>
      <c r="F34">
        <v>65</v>
      </c>
      <c r="G34">
        <v>0.56270450751252099</v>
      </c>
    </row>
    <row r="35" spans="1:7">
      <c r="A35" t="s">
        <v>153</v>
      </c>
      <c r="B35" t="s">
        <v>1034</v>
      </c>
      <c r="C35" s="19">
        <v>0.34471064814814811</v>
      </c>
      <c r="D35" s="19">
        <v>0.20981481481481482</v>
      </c>
      <c r="E35" s="19">
        <v>4.8564814814814818E-2</v>
      </c>
      <c r="F35">
        <v>64</v>
      </c>
      <c r="G35">
        <v>0.57680556021891705</v>
      </c>
    </row>
    <row r="36" spans="1:7">
      <c r="A36" t="s">
        <v>157</v>
      </c>
      <c r="B36" t="s">
        <v>1035</v>
      </c>
      <c r="C36" s="19">
        <v>0.31923611111111111</v>
      </c>
      <c r="D36" s="19">
        <v>0.18953703703703703</v>
      </c>
      <c r="E36" s="19">
        <v>6.1215277777777778E-2</v>
      </c>
      <c r="F36">
        <v>63</v>
      </c>
      <c r="G36">
        <v>0.55728373576970502</v>
      </c>
    </row>
    <row r="37" spans="1:7">
      <c r="A37" t="s">
        <v>161</v>
      </c>
      <c r="B37" t="s">
        <v>1036</v>
      </c>
      <c r="C37" s="19">
        <v>0.34128472222222223</v>
      </c>
      <c r="D37" s="19">
        <v>0.17200231481481479</v>
      </c>
      <c r="E37" s="19">
        <v>0.10777777777777779</v>
      </c>
      <c r="F37">
        <v>62</v>
      </c>
      <c r="G37">
        <v>0.47590463594126198</v>
      </c>
    </row>
    <row r="38" spans="1:7">
      <c r="A38" t="s">
        <v>167</v>
      </c>
      <c r="B38" t="s">
        <v>1037</v>
      </c>
      <c r="C38" s="19">
        <v>0.34012731481481479</v>
      </c>
      <c r="D38" s="19">
        <v>0.20243055555555556</v>
      </c>
      <c r="E38" s="19">
        <v>4.8333333333333332E-2</v>
      </c>
      <c r="F38">
        <v>61</v>
      </c>
      <c r="G38">
        <v>0.55636846224520997</v>
      </c>
    </row>
    <row r="39" spans="1:7">
      <c r="A39" t="s">
        <v>171</v>
      </c>
      <c r="B39" t="s">
        <v>1038</v>
      </c>
      <c r="C39" s="19">
        <v>0.3442824074074074</v>
      </c>
      <c r="D39" s="19">
        <v>0.20569444444444443</v>
      </c>
      <c r="E39" s="19">
        <v>4.912037037037037E-2</v>
      </c>
      <c r="F39">
        <v>60</v>
      </c>
      <c r="G39">
        <v>0.527970147246689</v>
      </c>
    </row>
    <row r="40" spans="1:7">
      <c r="A40" t="s">
        <v>173</v>
      </c>
      <c r="B40" t="s">
        <v>1039</v>
      </c>
      <c r="C40" s="19">
        <v>0.3439699074074074</v>
      </c>
      <c r="D40" s="19">
        <v>0.20620370370370369</v>
      </c>
      <c r="E40" s="19">
        <v>4.8923611111111105E-2</v>
      </c>
      <c r="F40">
        <v>59</v>
      </c>
      <c r="G40">
        <v>0.565025741108382</v>
      </c>
    </row>
    <row r="41" spans="1:7">
      <c r="A41" t="s">
        <v>177</v>
      </c>
      <c r="B41" t="s">
        <v>1040</v>
      </c>
      <c r="C41" s="19">
        <v>0.34541666666666665</v>
      </c>
      <c r="D41" s="19">
        <v>0.22590277777777779</v>
      </c>
      <c r="E41" s="19">
        <v>4.8749999999999995E-2</v>
      </c>
      <c r="F41">
        <v>58</v>
      </c>
      <c r="G41">
        <v>0.48579278917035301</v>
      </c>
    </row>
    <row r="42" spans="1:7">
      <c r="A42" t="s">
        <v>181</v>
      </c>
      <c r="B42" t="s">
        <v>1041</v>
      </c>
      <c r="C42" s="19">
        <v>0.34445601851851854</v>
      </c>
      <c r="D42" s="19">
        <v>0.20725694444444445</v>
      </c>
      <c r="E42" s="19">
        <v>4.6990740740740743E-2</v>
      </c>
      <c r="F42">
        <v>57</v>
      </c>
      <c r="G42">
        <v>0.572258996673499</v>
      </c>
    </row>
    <row r="43" spans="1:7">
      <c r="A43" t="s">
        <v>185</v>
      </c>
      <c r="B43" t="s">
        <v>1042</v>
      </c>
      <c r="C43" s="19">
        <v>0.33342592592592596</v>
      </c>
      <c r="D43" s="19">
        <v>0.16271990740740741</v>
      </c>
      <c r="E43" s="19">
        <v>0.10062500000000001</v>
      </c>
      <c r="F43">
        <v>56</v>
      </c>
      <c r="G43">
        <v>0.46542627048042201</v>
      </c>
    </row>
    <row r="44" spans="1:7">
      <c r="A44" t="s">
        <v>190</v>
      </c>
      <c r="B44" t="s">
        <v>1043</v>
      </c>
      <c r="C44" s="19">
        <v>0.2094560185185185</v>
      </c>
      <c r="D44" s="19">
        <v>0.13993055555555556</v>
      </c>
      <c r="E44" s="19">
        <v>1.0416666666666666E-2</v>
      </c>
      <c r="F44">
        <v>55</v>
      </c>
      <c r="G44">
        <v>0.64380836602751801</v>
      </c>
    </row>
    <row r="45" spans="1:7">
      <c r="A45" t="s">
        <v>193</v>
      </c>
      <c r="B45" t="s">
        <v>1044</v>
      </c>
      <c r="C45" s="19">
        <v>0.35192129629629632</v>
      </c>
      <c r="D45" s="19">
        <v>0.22140046296296298</v>
      </c>
      <c r="E45" s="19">
        <v>4.8437500000000001E-2</v>
      </c>
      <c r="F45">
        <v>54</v>
      </c>
      <c r="G45">
        <v>0.57347234098533195</v>
      </c>
    </row>
    <row r="46" spans="1:7">
      <c r="A46" t="s">
        <v>197</v>
      </c>
      <c r="B46" t="s">
        <v>1045</v>
      </c>
      <c r="C46" s="19">
        <v>0.32876157407407408</v>
      </c>
      <c r="D46" s="19">
        <v>0.22660879629629629</v>
      </c>
      <c r="E46" s="19">
        <v>3.9108796296296301E-2</v>
      </c>
      <c r="F46">
        <v>53</v>
      </c>
      <c r="G46">
        <v>0.64717479317021698</v>
      </c>
    </row>
    <row r="47" spans="1:7">
      <c r="A47" t="s">
        <v>201</v>
      </c>
      <c r="B47" t="s">
        <v>1046</v>
      </c>
      <c r="C47" s="19">
        <v>0.33435185185185184</v>
      </c>
      <c r="D47" s="19">
        <v>0.17586805555555554</v>
      </c>
      <c r="E47" s="19">
        <v>9.0555555555555556E-2</v>
      </c>
      <c r="F47">
        <v>52</v>
      </c>
      <c r="G47">
        <v>0.50443090556632497</v>
      </c>
    </row>
    <row r="48" spans="1:7">
      <c r="A48" t="s">
        <v>206</v>
      </c>
      <c r="B48" t="s">
        <v>1047</v>
      </c>
      <c r="C48" s="19">
        <v>0.34831018518518514</v>
      </c>
      <c r="D48" s="19">
        <v>0.21436342592592594</v>
      </c>
      <c r="E48" s="19">
        <v>4.8240740740740744E-2</v>
      </c>
      <c r="F48">
        <v>51</v>
      </c>
      <c r="G48">
        <v>0.55280122283511701</v>
      </c>
    </row>
    <row r="49" spans="1:7">
      <c r="A49" t="s">
        <v>208</v>
      </c>
      <c r="B49" t="s">
        <v>1048</v>
      </c>
      <c r="C49" s="19">
        <v>0.34407407407407403</v>
      </c>
      <c r="D49" s="19">
        <v>0.19798611111111111</v>
      </c>
      <c r="E49" s="19">
        <v>4.8437500000000001E-2</v>
      </c>
      <c r="F49">
        <v>50</v>
      </c>
      <c r="G49">
        <v>0.55493137782561897</v>
      </c>
    </row>
    <row r="50" spans="1:7">
      <c r="A50" t="s">
        <v>210</v>
      </c>
      <c r="B50" t="s">
        <v>1049</v>
      </c>
      <c r="C50" s="19">
        <v>0.33285879629629628</v>
      </c>
      <c r="D50" s="19">
        <v>0.19598379629629628</v>
      </c>
      <c r="E50" s="19">
        <v>4.8738425925925921E-2</v>
      </c>
      <c r="F50">
        <v>49</v>
      </c>
      <c r="G50">
        <v>0.55217497131332804</v>
      </c>
    </row>
    <row r="51" spans="1:7">
      <c r="A51" t="s">
        <v>213</v>
      </c>
      <c r="B51" t="s">
        <v>1050</v>
      </c>
      <c r="C51" s="19">
        <v>0.20570601851851852</v>
      </c>
      <c r="D51" s="19">
        <v>0.13252314814814814</v>
      </c>
      <c r="E51" s="19">
        <v>1.2615740740740742E-2</v>
      </c>
      <c r="F51">
        <v>48</v>
      </c>
      <c r="G51">
        <v>0.58819557756147001</v>
      </c>
    </row>
    <row r="52" spans="1:7">
      <c r="A52" t="s">
        <v>217</v>
      </c>
      <c r="B52" t="s">
        <v>1051</v>
      </c>
      <c r="C52" s="19">
        <v>0.32318287037037036</v>
      </c>
      <c r="D52" s="19">
        <v>0.19381944444444443</v>
      </c>
      <c r="E52" s="19">
        <v>5.1898148148148145E-2</v>
      </c>
      <c r="F52">
        <v>47</v>
      </c>
      <c r="G52">
        <v>0.55534863732407003</v>
      </c>
    </row>
    <row r="53" spans="1:7">
      <c r="A53" t="s">
        <v>222</v>
      </c>
      <c r="B53" t="s">
        <v>1052</v>
      </c>
      <c r="C53" s="19">
        <v>0.33348379629629626</v>
      </c>
      <c r="D53" s="19">
        <v>0.19890046296296296</v>
      </c>
      <c r="E53" s="19">
        <v>4.8657407407407406E-2</v>
      </c>
      <c r="F53">
        <v>46</v>
      </c>
      <c r="G53">
        <v>0.55815083469267301</v>
      </c>
    </row>
    <row r="54" spans="1:7">
      <c r="A54" t="s">
        <v>224</v>
      </c>
      <c r="B54" t="s">
        <v>1053</v>
      </c>
      <c r="C54" s="19">
        <v>0.34015046296296297</v>
      </c>
      <c r="D54" s="19">
        <v>0.20222222222222222</v>
      </c>
      <c r="E54" s="19">
        <v>4.8715277777777781E-2</v>
      </c>
      <c r="F54">
        <v>45</v>
      </c>
      <c r="G54">
        <v>0.53002824185919895</v>
      </c>
    </row>
    <row r="55" spans="1:7">
      <c r="A55" t="s">
        <v>227</v>
      </c>
      <c r="B55" t="s">
        <v>1054</v>
      </c>
      <c r="C55" s="19">
        <v>0.34311342592592592</v>
      </c>
      <c r="D55" s="19">
        <v>0.21112268518518518</v>
      </c>
      <c r="E55" s="19">
        <v>4.9062500000000002E-2</v>
      </c>
      <c r="F55">
        <v>44</v>
      </c>
      <c r="G55">
        <v>0.54639905548996504</v>
      </c>
    </row>
    <row r="56" spans="1:7">
      <c r="A56" t="s">
        <v>231</v>
      </c>
      <c r="B56" t="s">
        <v>1055</v>
      </c>
      <c r="C56" s="19">
        <v>0.32046296296296295</v>
      </c>
      <c r="D56" s="19">
        <v>0.18484953703703702</v>
      </c>
      <c r="E56" s="19">
        <v>4.9143518518518524E-2</v>
      </c>
      <c r="F56">
        <v>43</v>
      </c>
      <c r="G56">
        <v>0.52849609939323905</v>
      </c>
    </row>
    <row r="57" spans="1:7">
      <c r="A57" t="s">
        <v>235</v>
      </c>
      <c r="B57" t="s">
        <v>1056</v>
      </c>
      <c r="C57" s="19">
        <v>0.33384259259259258</v>
      </c>
      <c r="D57" s="19">
        <v>0.1867824074074074</v>
      </c>
      <c r="E57" s="19">
        <v>4.853009259259259E-2</v>
      </c>
      <c r="F57">
        <v>42</v>
      </c>
      <c r="G57">
        <v>0.53279711551795905</v>
      </c>
    </row>
    <row r="58" spans="1:7">
      <c r="A58" t="s">
        <v>237</v>
      </c>
      <c r="B58" t="s">
        <v>1056</v>
      </c>
      <c r="C58" s="19">
        <v>0.33012731481481478</v>
      </c>
      <c r="D58" s="19">
        <v>0.18739583333333332</v>
      </c>
      <c r="E58" s="19">
        <v>5.2766203703703697E-2</v>
      </c>
      <c r="F58">
        <v>41</v>
      </c>
      <c r="G58">
        <v>0.53150089401535605</v>
      </c>
    </row>
    <row r="59" spans="1:7">
      <c r="A59" t="s">
        <v>239</v>
      </c>
      <c r="B59" t="s">
        <v>1057</v>
      </c>
      <c r="C59" s="19">
        <v>0.34032407407407406</v>
      </c>
      <c r="D59" s="19">
        <v>0.21151620370370372</v>
      </c>
      <c r="E59" s="19">
        <v>4.9756944444444444E-2</v>
      </c>
      <c r="F59">
        <v>40</v>
      </c>
      <c r="G59">
        <v>0.58954564004897303</v>
      </c>
    </row>
    <row r="60" spans="1:7">
      <c r="A60" t="s">
        <v>242</v>
      </c>
      <c r="B60" t="s">
        <v>1058</v>
      </c>
      <c r="C60" s="19">
        <v>0.33714120370370365</v>
      </c>
      <c r="D60" s="19">
        <v>0.13162037037037036</v>
      </c>
      <c r="E60" s="19">
        <v>0.14913194444444444</v>
      </c>
      <c r="F60">
        <v>39</v>
      </c>
      <c r="G60">
        <v>0.34903360911806097</v>
      </c>
    </row>
    <row r="61" spans="1:7">
      <c r="A61" t="s">
        <v>247</v>
      </c>
      <c r="B61" t="s">
        <v>1059</v>
      </c>
      <c r="C61" s="19">
        <v>0.34364583333333337</v>
      </c>
      <c r="D61" s="19">
        <v>0.17246527777777776</v>
      </c>
      <c r="E61" s="19">
        <v>9.194444444444444E-2</v>
      </c>
      <c r="F61">
        <v>38</v>
      </c>
      <c r="G61">
        <v>0.47933717288067101</v>
      </c>
    </row>
    <row r="62" spans="1:7">
      <c r="A62" t="s">
        <v>252</v>
      </c>
      <c r="B62" t="s">
        <v>1060</v>
      </c>
      <c r="C62" s="19">
        <v>0.21915509259259258</v>
      </c>
      <c r="D62" s="19">
        <v>0.15189814814814814</v>
      </c>
      <c r="E62" s="19">
        <v>1.082175925925926E-2</v>
      </c>
      <c r="F62">
        <v>37</v>
      </c>
      <c r="G62">
        <v>0.62762080802746201</v>
      </c>
    </row>
    <row r="63" spans="1:7">
      <c r="A63" t="s">
        <v>255</v>
      </c>
      <c r="B63" t="s">
        <v>1061</v>
      </c>
      <c r="C63" s="19">
        <v>0.3417824074074074</v>
      </c>
      <c r="D63" s="19">
        <v>0.17645833333333336</v>
      </c>
      <c r="E63" s="19">
        <v>9.2442129629629624E-2</v>
      </c>
      <c r="F63">
        <v>36</v>
      </c>
      <c r="G63">
        <v>0.47561801557737898</v>
      </c>
    </row>
    <row r="64" spans="1:7">
      <c r="A64" t="s">
        <v>258</v>
      </c>
      <c r="B64" t="s">
        <v>1062</v>
      </c>
      <c r="C64" s="19">
        <v>0.33370370370370367</v>
      </c>
      <c r="D64" s="19">
        <v>0.16336805555555556</v>
      </c>
      <c r="E64" s="19">
        <v>0.11005787037037036</v>
      </c>
      <c r="F64">
        <v>35</v>
      </c>
      <c r="G64">
        <v>0.43635543840177599</v>
      </c>
    </row>
    <row r="65" spans="1:7">
      <c r="A65" t="s">
        <v>262</v>
      </c>
      <c r="B65" t="s">
        <v>1063</v>
      </c>
      <c r="C65" s="19">
        <v>0.33026620370370369</v>
      </c>
      <c r="D65" s="19">
        <v>0.16021990740740741</v>
      </c>
      <c r="E65" s="19">
        <v>0.10043981481481483</v>
      </c>
      <c r="F65">
        <v>34</v>
      </c>
      <c r="G65">
        <v>0.451270369721395</v>
      </c>
    </row>
    <row r="66" spans="1:7">
      <c r="A66" t="s">
        <v>268</v>
      </c>
      <c r="B66" t="s">
        <v>1064</v>
      </c>
      <c r="C66" s="19">
        <v>0.20910879629629631</v>
      </c>
      <c r="D66" s="19">
        <v>0.13449074074074074</v>
      </c>
      <c r="E66" s="19">
        <v>2.0532407407407405E-2</v>
      </c>
      <c r="F66">
        <v>33</v>
      </c>
      <c r="G66">
        <v>0.61244257486024201</v>
      </c>
    </row>
    <row r="67" spans="1:7">
      <c r="A67" t="s">
        <v>272</v>
      </c>
      <c r="B67" t="s">
        <v>1065</v>
      </c>
      <c r="C67" s="19">
        <v>0.34836805555555556</v>
      </c>
      <c r="D67" s="19">
        <v>0.19697916666666668</v>
      </c>
      <c r="E67" s="19">
        <v>5.1423611111111107E-2</v>
      </c>
      <c r="F67">
        <v>32</v>
      </c>
      <c r="G67">
        <v>0.51755872288115901</v>
      </c>
    </row>
    <row r="68" spans="1:7">
      <c r="A68" t="s">
        <v>275</v>
      </c>
      <c r="B68" t="s">
        <v>1066</v>
      </c>
      <c r="C68" s="19">
        <v>0.34686342592592595</v>
      </c>
      <c r="D68" s="19">
        <v>0.2043865740740741</v>
      </c>
      <c r="E68" s="19">
        <v>4.7534722222222221E-2</v>
      </c>
      <c r="F68">
        <v>31</v>
      </c>
      <c r="G68">
        <v>0.55550735760285597</v>
      </c>
    </row>
    <row r="69" spans="1:7">
      <c r="A69" t="s">
        <v>279</v>
      </c>
      <c r="B69" t="s">
        <v>1067</v>
      </c>
      <c r="C69" s="19">
        <v>0.3480671296296296</v>
      </c>
      <c r="D69" s="19">
        <v>0.19177083333333333</v>
      </c>
      <c r="E69" s="19">
        <v>9.3958333333333324E-2</v>
      </c>
      <c r="F69">
        <v>30</v>
      </c>
      <c r="G69">
        <v>0.45535862734013899</v>
      </c>
    </row>
    <row r="70" spans="1:7">
      <c r="A70" t="s">
        <v>283</v>
      </c>
      <c r="B70" t="s">
        <v>1068</v>
      </c>
      <c r="C70" s="19">
        <v>0.33495370370370375</v>
      </c>
      <c r="D70" s="19">
        <v>0.19739583333333333</v>
      </c>
      <c r="E70" s="19">
        <v>4.8645833333333333E-2</v>
      </c>
      <c r="F70">
        <v>29</v>
      </c>
      <c r="G70">
        <v>0.53445058742225304</v>
      </c>
    </row>
    <row r="71" spans="1:7">
      <c r="A71" t="s">
        <v>284</v>
      </c>
      <c r="B71" t="s">
        <v>1069</v>
      </c>
      <c r="C71" s="19">
        <v>0.34497685185185184</v>
      </c>
      <c r="D71" s="19">
        <v>0.20746527777777779</v>
      </c>
      <c r="E71" s="19">
        <v>6.7650462962962968E-2</v>
      </c>
      <c r="F71">
        <v>28</v>
      </c>
      <c r="G71">
        <v>0.55914916459773201</v>
      </c>
    </row>
    <row r="72" spans="1:7">
      <c r="A72" t="s">
        <v>289</v>
      </c>
      <c r="B72" t="s">
        <v>1070</v>
      </c>
      <c r="C72" s="19">
        <v>0.33376157407407409</v>
      </c>
      <c r="D72" s="19">
        <v>0.19787037037037036</v>
      </c>
      <c r="E72" s="19">
        <v>4.853009259259259E-2</v>
      </c>
      <c r="F72">
        <v>29</v>
      </c>
      <c r="G72">
        <v>0.56847106148351101</v>
      </c>
    </row>
    <row r="73" spans="1:7">
      <c r="A73" t="s">
        <v>291</v>
      </c>
      <c r="B73" t="s">
        <v>1071</v>
      </c>
      <c r="C73" s="19">
        <v>0.33037037037037037</v>
      </c>
      <c r="D73" s="19">
        <v>0.1849652777777778</v>
      </c>
      <c r="E73" s="19">
        <v>6.6701388888888893E-2</v>
      </c>
      <c r="F73">
        <v>30</v>
      </c>
      <c r="G73">
        <v>0.47509108744394601</v>
      </c>
    </row>
    <row r="74" spans="1:7">
      <c r="A74" t="s">
        <v>295</v>
      </c>
      <c r="B74" t="s">
        <v>1072</v>
      </c>
      <c r="C74" s="19">
        <v>0.34008101851851852</v>
      </c>
      <c r="D74" s="19">
        <v>0.16811342592592593</v>
      </c>
      <c r="E74" s="19">
        <v>9.1597222222222219E-2</v>
      </c>
      <c r="F74">
        <v>31</v>
      </c>
      <c r="G74">
        <v>0.47578531804104401</v>
      </c>
    </row>
    <row r="75" spans="1:7">
      <c r="A75" t="s">
        <v>299</v>
      </c>
      <c r="B75" t="s">
        <v>1073</v>
      </c>
      <c r="C75" s="19">
        <v>0.33415509259259263</v>
      </c>
      <c r="D75" s="19">
        <v>0.16863425925925926</v>
      </c>
      <c r="E75" s="19">
        <v>0.10168981481481482</v>
      </c>
      <c r="F75">
        <v>32</v>
      </c>
      <c r="G75">
        <v>0.46898271622042897</v>
      </c>
    </row>
    <row r="76" spans="1:7">
      <c r="A76" t="s">
        <v>302</v>
      </c>
      <c r="B76" t="s">
        <v>1074</v>
      </c>
      <c r="C76" s="19">
        <v>0.34437500000000004</v>
      </c>
      <c r="D76" s="19">
        <v>0.18534722222222222</v>
      </c>
      <c r="E76" s="19">
        <v>8.0162037037037046E-2</v>
      </c>
      <c r="F76">
        <v>33</v>
      </c>
      <c r="G76">
        <v>0.51361161524500898</v>
      </c>
    </row>
    <row r="77" spans="1:7">
      <c r="A77" t="s">
        <v>305</v>
      </c>
      <c r="B77" t="s">
        <v>1075</v>
      </c>
      <c r="C77" s="19">
        <v>0.3558101851851852</v>
      </c>
      <c r="D77" s="19">
        <v>0.21642361111111111</v>
      </c>
      <c r="E77" s="19">
        <v>6.8541666666666667E-2</v>
      </c>
      <c r="F77">
        <v>34</v>
      </c>
      <c r="G77">
        <v>0.525112224318522</v>
      </c>
    </row>
    <row r="78" spans="1:7">
      <c r="A78" t="s">
        <v>309</v>
      </c>
      <c r="B78" t="s">
        <v>1076</v>
      </c>
      <c r="C78" s="19">
        <v>0.34848379629629633</v>
      </c>
      <c r="D78" s="19">
        <v>0.12767361111111111</v>
      </c>
      <c r="E78" s="19">
        <v>0.17460648148148147</v>
      </c>
      <c r="F78">
        <v>35</v>
      </c>
      <c r="G78">
        <v>0.348600086352918</v>
      </c>
    </row>
    <row r="79" spans="1:7">
      <c r="A79" t="s">
        <v>315</v>
      </c>
      <c r="B79" t="s">
        <v>1077</v>
      </c>
      <c r="C79" s="19">
        <v>0.35092592592592592</v>
      </c>
      <c r="D79" s="19">
        <v>0.12086805555555556</v>
      </c>
      <c r="E79" s="19">
        <v>0.18131944444444445</v>
      </c>
      <c r="F79">
        <v>36</v>
      </c>
      <c r="G79">
        <v>0.314709762532982</v>
      </c>
    </row>
    <row r="80" spans="1:7">
      <c r="A80" t="s">
        <v>320</v>
      </c>
      <c r="B80" t="s">
        <v>1078</v>
      </c>
      <c r="C80" s="19">
        <v>0.33891203703703704</v>
      </c>
      <c r="D80" s="19">
        <v>0.21581018518518516</v>
      </c>
      <c r="E80" s="19">
        <v>4.8900462962962965E-2</v>
      </c>
      <c r="F80">
        <v>37</v>
      </c>
      <c r="G80">
        <v>0.55600710333993597</v>
      </c>
    </row>
    <row r="81" spans="1:7">
      <c r="A81" t="s">
        <v>323</v>
      </c>
      <c r="B81" t="s">
        <v>1079</v>
      </c>
      <c r="C81" s="19">
        <v>0.34675925925925927</v>
      </c>
      <c r="D81" s="19">
        <v>0.17275462962962962</v>
      </c>
      <c r="E81" s="19">
        <v>0.10935185185185185</v>
      </c>
      <c r="F81">
        <v>38</v>
      </c>
      <c r="G81">
        <v>0.46221628838451301</v>
      </c>
    </row>
    <row r="82" spans="1:7">
      <c r="A82" t="s">
        <v>328</v>
      </c>
      <c r="B82" t="s">
        <v>1080</v>
      </c>
      <c r="C82" s="19">
        <v>0.3511111111111111</v>
      </c>
      <c r="D82" s="19">
        <v>0.15339120370370371</v>
      </c>
      <c r="E82" s="19">
        <v>0.13890046296296296</v>
      </c>
      <c r="F82">
        <v>39</v>
      </c>
      <c r="G82">
        <v>0.39075685654008402</v>
      </c>
    </row>
    <row r="83" spans="1:7">
      <c r="A83" t="s">
        <v>333</v>
      </c>
      <c r="B83" t="s">
        <v>1081</v>
      </c>
      <c r="C83" s="19">
        <v>0.3447453703703704</v>
      </c>
      <c r="D83" s="19">
        <v>0.21947916666666667</v>
      </c>
      <c r="E83" s="19">
        <v>4.7592592592592596E-2</v>
      </c>
      <c r="F83">
        <v>40</v>
      </c>
      <c r="G83">
        <v>0.54713623850130899</v>
      </c>
    </row>
    <row r="84" spans="1:7">
      <c r="A84" t="s">
        <v>337</v>
      </c>
      <c r="B84" t="s">
        <v>1082</v>
      </c>
      <c r="C84" s="19">
        <v>0.3167476851851852</v>
      </c>
      <c r="D84" s="19">
        <v>0.21346064814814814</v>
      </c>
      <c r="E84" s="19">
        <v>2.1064814814814814E-2</v>
      </c>
      <c r="F84">
        <v>41</v>
      </c>
      <c r="G84">
        <v>0.61457229509993805</v>
      </c>
    </row>
    <row r="85" spans="1:7">
      <c r="A85" t="s">
        <v>339</v>
      </c>
      <c r="B85" t="s">
        <v>1083</v>
      </c>
      <c r="C85" s="19">
        <v>0.34024305555555556</v>
      </c>
      <c r="D85" s="19">
        <v>0.21100694444444446</v>
      </c>
      <c r="E85" s="19">
        <v>4.7731481481481486E-2</v>
      </c>
      <c r="F85">
        <v>42</v>
      </c>
      <c r="G85">
        <v>0.55335578460387103</v>
      </c>
    </row>
    <row r="86" spans="1:7">
      <c r="A86" t="s">
        <v>342</v>
      </c>
      <c r="B86" t="s">
        <v>1084</v>
      </c>
      <c r="C86" s="19">
        <v>0.33611111111111108</v>
      </c>
      <c r="D86" s="19">
        <v>0.21214120370370371</v>
      </c>
      <c r="E86" s="19">
        <v>4.7500000000000007E-2</v>
      </c>
      <c r="F86">
        <v>43</v>
      </c>
      <c r="G86">
        <v>0.611363636363636</v>
      </c>
    </row>
    <row r="87" spans="1:7">
      <c r="A87" t="s">
        <v>345</v>
      </c>
      <c r="B87" t="s">
        <v>1085</v>
      </c>
      <c r="C87" s="19">
        <v>0.3331365740740741</v>
      </c>
      <c r="D87" s="19">
        <v>0.18670138888888888</v>
      </c>
      <c r="E87" s="19">
        <v>6.7430555555555563E-2</v>
      </c>
      <c r="F87">
        <v>44</v>
      </c>
      <c r="G87">
        <v>0.51217732689434703</v>
      </c>
    </row>
    <row r="88" spans="1:7">
      <c r="A88" t="s">
        <v>350</v>
      </c>
      <c r="B88" t="s">
        <v>1086</v>
      </c>
      <c r="C88" s="19">
        <v>0.35135416666666663</v>
      </c>
      <c r="D88" s="19">
        <v>0.20708333333333331</v>
      </c>
      <c r="E88" s="19">
        <v>5.4953703703703706E-2</v>
      </c>
      <c r="F88">
        <v>45</v>
      </c>
      <c r="G88">
        <v>0.56029910728991705</v>
      </c>
    </row>
    <row r="89" spans="1:7">
      <c r="A89" t="s">
        <v>354</v>
      </c>
      <c r="B89" t="s">
        <v>1087</v>
      </c>
      <c r="C89" s="19">
        <v>0.34356481481481477</v>
      </c>
      <c r="D89" s="19">
        <v>0.16344907407407408</v>
      </c>
      <c r="E89" s="19">
        <v>0.10712962962962963</v>
      </c>
      <c r="F89">
        <v>46</v>
      </c>
      <c r="G89">
        <v>0.42891793558819602</v>
      </c>
    </row>
    <row r="90" spans="1:7">
      <c r="A90" t="s">
        <v>360</v>
      </c>
      <c r="B90" t="s">
        <v>1088</v>
      </c>
      <c r="C90" s="19">
        <v>0.34900462962962964</v>
      </c>
      <c r="D90" s="19">
        <v>3.3715277777777775E-2</v>
      </c>
      <c r="E90" s="19">
        <v>0.29744212962962963</v>
      </c>
      <c r="F90">
        <v>47</v>
      </c>
      <c r="G90">
        <v>9.4547987000066294E-2</v>
      </c>
    </row>
    <row r="91" spans="1:7">
      <c r="A91" t="s">
        <v>367</v>
      </c>
      <c r="B91" t="s">
        <v>1089</v>
      </c>
      <c r="C91" s="19">
        <v>0.33378472222222227</v>
      </c>
      <c r="D91" s="19">
        <v>0.21655092592592592</v>
      </c>
      <c r="E91" s="19">
        <v>5.004629629629629E-2</v>
      </c>
      <c r="F91">
        <v>48</v>
      </c>
      <c r="G91">
        <v>0.61021533340268397</v>
      </c>
    </row>
    <row r="92" spans="1:7">
      <c r="A92" t="s">
        <v>371</v>
      </c>
      <c r="B92" t="s">
        <v>1089</v>
      </c>
      <c r="C92" s="19">
        <v>0.34559027777777779</v>
      </c>
      <c r="D92" s="19">
        <v>0.2011574074074074</v>
      </c>
      <c r="E92" s="19">
        <v>8.790509259259259E-2</v>
      </c>
      <c r="F92">
        <v>49</v>
      </c>
      <c r="G92">
        <v>0.51260926353863201</v>
      </c>
    </row>
    <row r="93" spans="1:7">
      <c r="A93" t="s">
        <v>374</v>
      </c>
      <c r="B93" t="s">
        <v>1090</v>
      </c>
      <c r="C93" s="19">
        <v>0.21146990740740743</v>
      </c>
      <c r="D93" s="19">
        <v>0.14190972222222223</v>
      </c>
      <c r="E93" s="19">
        <v>1.6979166666666667E-2</v>
      </c>
      <c r="F93">
        <v>50</v>
      </c>
      <c r="G93">
        <v>0.62426796562859199</v>
      </c>
    </row>
    <row r="94" spans="1:7">
      <c r="A94" t="s">
        <v>379</v>
      </c>
      <c r="B94" t="s">
        <v>1091</v>
      </c>
      <c r="C94" s="19">
        <v>0.34075231481481483</v>
      </c>
      <c r="D94" s="19">
        <v>0.1976273148148148</v>
      </c>
      <c r="E94" s="19">
        <v>4.8240740740740744E-2</v>
      </c>
      <c r="F94">
        <v>51</v>
      </c>
      <c r="G94">
        <v>0.54373153085832704</v>
      </c>
    </row>
    <row r="95" spans="1:7">
      <c r="A95" t="s">
        <v>381</v>
      </c>
      <c r="B95" t="s">
        <v>1092</v>
      </c>
      <c r="C95" s="19">
        <v>0.34390046296296295</v>
      </c>
      <c r="D95" t="e">
        <v>#VALUE!</v>
      </c>
      <c r="E95" s="19">
        <v>0.34385416666666663</v>
      </c>
      <c r="F95">
        <v>52</v>
      </c>
      <c r="G95">
        <v>0</v>
      </c>
    </row>
    <row r="96" spans="1:7">
      <c r="A96" t="s">
        <v>386</v>
      </c>
      <c r="B96" t="s">
        <v>1093</v>
      </c>
      <c r="C96" s="19">
        <v>0.33532407407407411</v>
      </c>
      <c r="D96" s="19">
        <v>5.0763888888888886E-2</v>
      </c>
      <c r="E96" s="19">
        <v>0.27759259259259261</v>
      </c>
      <c r="F96">
        <v>53</v>
      </c>
      <c r="G96">
        <v>0.14431174927516199</v>
      </c>
    </row>
    <row r="97" spans="1:7">
      <c r="A97" t="s">
        <v>391</v>
      </c>
      <c r="B97" t="s">
        <v>1094</v>
      </c>
      <c r="C97" s="19">
        <v>0.34682870370370367</v>
      </c>
      <c r="D97" s="19">
        <v>0.20351851851851852</v>
      </c>
      <c r="E97" s="19">
        <v>5.122685185185185E-2</v>
      </c>
      <c r="F97">
        <v>54</v>
      </c>
      <c r="G97">
        <v>0.55259293866381898</v>
      </c>
    </row>
    <row r="98" spans="1:7">
      <c r="A98" t="s">
        <v>396</v>
      </c>
      <c r="B98" t="s">
        <v>1095</v>
      </c>
      <c r="C98" s="19">
        <v>0.33483796296296298</v>
      </c>
      <c r="D98" s="19">
        <v>6.6759259259259254E-2</v>
      </c>
      <c r="E98" s="19">
        <v>0.23973379629629629</v>
      </c>
      <c r="F98">
        <v>55</v>
      </c>
      <c r="G98">
        <v>0.18938817836156199</v>
      </c>
    </row>
    <row r="99" spans="1:7">
      <c r="A99" t="s">
        <v>400</v>
      </c>
      <c r="B99" t="s">
        <v>1096</v>
      </c>
      <c r="C99" s="19">
        <v>0.34770833333333334</v>
      </c>
      <c r="D99" s="19">
        <v>0.1784375</v>
      </c>
      <c r="E99" s="19">
        <v>8.6782407407407405E-2</v>
      </c>
      <c r="F99">
        <v>56</v>
      </c>
      <c r="G99">
        <v>0.47077424938419499</v>
      </c>
    </row>
    <row r="100" spans="1:7">
      <c r="A100" t="s">
        <v>405</v>
      </c>
      <c r="B100" t="s">
        <v>1097</v>
      </c>
      <c r="C100" s="19">
        <v>0.33384259259259258</v>
      </c>
      <c r="D100" s="19">
        <v>0.19934027777777777</v>
      </c>
      <c r="E100" s="19">
        <v>4.9467592592592591E-2</v>
      </c>
      <c r="F100">
        <v>57</v>
      </c>
      <c r="G100">
        <v>0.53862155040909698</v>
      </c>
    </row>
    <row r="101" spans="1:7">
      <c r="A101" t="s">
        <v>407</v>
      </c>
      <c r="B101" t="s">
        <v>1098</v>
      </c>
      <c r="C101" s="19">
        <v>0.3346412037037037</v>
      </c>
      <c r="D101" s="19">
        <v>0.19371527777777778</v>
      </c>
      <c r="E101" s="19">
        <v>4.8240740740740744E-2</v>
      </c>
      <c r="F101">
        <v>58</v>
      </c>
      <c r="G101">
        <v>0.53294365856189296</v>
      </c>
    </row>
    <row r="102" spans="1:7">
      <c r="A102" t="s">
        <v>410</v>
      </c>
      <c r="B102" t="s">
        <v>1099</v>
      </c>
      <c r="C102" s="19">
        <v>0.24574074074074073</v>
      </c>
      <c r="D102" s="19">
        <v>0.1202199074074074</v>
      </c>
      <c r="E102" s="19">
        <v>0.11229166666666668</v>
      </c>
      <c r="F102">
        <v>59</v>
      </c>
      <c r="G102">
        <v>0.41310286360211002</v>
      </c>
    </row>
    <row r="103" spans="1:7">
      <c r="A103" t="s">
        <v>415</v>
      </c>
      <c r="B103" t="s">
        <v>1100</v>
      </c>
      <c r="C103" s="19">
        <v>0.34446759259259263</v>
      </c>
      <c r="D103" s="19">
        <v>0.18254629629629629</v>
      </c>
      <c r="E103" s="19">
        <v>7.6817129629629624E-2</v>
      </c>
      <c r="F103">
        <v>60</v>
      </c>
      <c r="G103">
        <v>0.50483838451717</v>
      </c>
    </row>
    <row r="104" spans="1:7">
      <c r="A104" t="s">
        <v>418</v>
      </c>
      <c r="B104" t="s">
        <v>1101</v>
      </c>
      <c r="C104" s="19">
        <v>0.34423611111111113</v>
      </c>
      <c r="D104" s="19">
        <v>0.18436342592592592</v>
      </c>
      <c r="E104" s="19">
        <v>6.732638888888888E-2</v>
      </c>
      <c r="F104">
        <v>61</v>
      </c>
      <c r="G104">
        <v>0.52390558805729304</v>
      </c>
    </row>
    <row r="105" spans="1:7">
      <c r="A105" t="s">
        <v>423</v>
      </c>
      <c r="B105" t="s">
        <v>1102</v>
      </c>
      <c r="C105" s="19">
        <v>0.34479166666666666</v>
      </c>
      <c r="D105" s="19">
        <v>0.10450231481481481</v>
      </c>
      <c r="E105" s="19">
        <v>0.21383101851851852</v>
      </c>
      <c r="F105">
        <v>62</v>
      </c>
      <c r="G105">
        <v>0.25444780127559602</v>
      </c>
    </row>
    <row r="106" spans="1:7">
      <c r="A106" t="s">
        <v>429</v>
      </c>
      <c r="B106" t="s">
        <v>1103</v>
      </c>
      <c r="C106" s="19">
        <v>0.33458333333333329</v>
      </c>
      <c r="D106" s="19">
        <v>0.20292824074074076</v>
      </c>
      <c r="E106" s="19">
        <v>5.092592592592593E-2</v>
      </c>
      <c r="F106">
        <v>63</v>
      </c>
      <c r="G106">
        <v>0.55517503805174995</v>
      </c>
    </row>
    <row r="107" spans="1:7">
      <c r="A107" t="s">
        <v>433</v>
      </c>
      <c r="B107" t="s">
        <v>1104</v>
      </c>
      <c r="C107" s="19">
        <v>0.34524305555555551</v>
      </c>
      <c r="D107" t="e">
        <v>#VALUE!</v>
      </c>
      <c r="E107" s="19">
        <v>0.34513888888888888</v>
      </c>
      <c r="F107">
        <v>64</v>
      </c>
      <c r="G107">
        <v>0</v>
      </c>
    </row>
    <row r="108" spans="1:7">
      <c r="A108" t="s">
        <v>437</v>
      </c>
      <c r="B108" t="s">
        <v>1105</v>
      </c>
      <c r="C108" s="19">
        <v>0.34424768518518517</v>
      </c>
      <c r="D108" s="19">
        <v>0.17256944444444444</v>
      </c>
      <c r="E108" s="19">
        <v>9.0462962962962967E-2</v>
      </c>
      <c r="F108">
        <v>65</v>
      </c>
      <c r="G108">
        <v>0.477120667047709</v>
      </c>
    </row>
    <row r="109" spans="1:7">
      <c r="A109" t="s">
        <v>440</v>
      </c>
      <c r="B109" t="s">
        <v>1106</v>
      </c>
      <c r="C109" s="19">
        <v>0.35488425925925932</v>
      </c>
      <c r="D109" s="19">
        <v>0.23307870370370373</v>
      </c>
      <c r="E109" s="19">
        <v>3.7349537037037035E-2</v>
      </c>
      <c r="F109">
        <v>66</v>
      </c>
      <c r="G109">
        <v>0.61917030852521004</v>
      </c>
    </row>
    <row r="110" spans="1:7">
      <c r="A110" t="s">
        <v>444</v>
      </c>
      <c r="B110" t="s">
        <v>1107</v>
      </c>
      <c r="C110" s="19">
        <v>0.33346064814814813</v>
      </c>
      <c r="D110" s="19">
        <v>0.2029050925925926</v>
      </c>
      <c r="E110" s="19">
        <v>4.8194444444444449E-2</v>
      </c>
      <c r="F110">
        <v>67</v>
      </c>
      <c r="G110">
        <v>0.55305265350039901</v>
      </c>
    </row>
    <row r="111" spans="1:7">
      <c r="A111" t="s">
        <v>446</v>
      </c>
      <c r="B111" t="s">
        <v>1108</v>
      </c>
      <c r="C111" s="19">
        <v>0.34430555555555559</v>
      </c>
      <c r="D111" s="19">
        <v>0.20876157407407406</v>
      </c>
      <c r="E111" s="19">
        <v>4.7685185185185185E-2</v>
      </c>
      <c r="F111">
        <v>68</v>
      </c>
      <c r="G111">
        <v>0.56195374478956595</v>
      </c>
    </row>
    <row r="112" spans="1:7">
      <c r="A112" t="s">
        <v>450</v>
      </c>
      <c r="B112" t="s">
        <v>1109</v>
      </c>
      <c r="C112" s="19">
        <v>0.34439814814814818</v>
      </c>
      <c r="D112" s="19">
        <v>0.19284722222222225</v>
      </c>
      <c r="E112" s="19">
        <v>8.2974537037037041E-2</v>
      </c>
      <c r="F112">
        <v>69</v>
      </c>
      <c r="G112">
        <v>0.48780077967468699</v>
      </c>
    </row>
    <row r="113" spans="1:7">
      <c r="A113" t="s">
        <v>454</v>
      </c>
      <c r="B113" t="s">
        <v>1110</v>
      </c>
      <c r="C113" s="19">
        <v>0.34435185185185185</v>
      </c>
      <c r="D113" s="19">
        <v>0.20849537037037036</v>
      </c>
      <c r="E113" s="19">
        <v>4.8414351851851854E-2</v>
      </c>
      <c r="F113">
        <v>70</v>
      </c>
      <c r="G113">
        <v>0.55414762032804499</v>
      </c>
    </row>
    <row r="114" spans="1:7">
      <c r="A114" t="s">
        <v>457</v>
      </c>
      <c r="B114" t="s">
        <v>1111</v>
      </c>
      <c r="C114" s="19">
        <v>0.33491898148148147</v>
      </c>
      <c r="D114" s="19">
        <v>0.21258101851851852</v>
      </c>
      <c r="E114" s="19">
        <v>4.8784722222222222E-2</v>
      </c>
      <c r="F114">
        <v>71</v>
      </c>
      <c r="G114">
        <v>0.58651553374572396</v>
      </c>
    </row>
    <row r="115" spans="1:7">
      <c r="A115" t="s">
        <v>461</v>
      </c>
      <c r="B115" t="s">
        <v>1112</v>
      </c>
      <c r="C115" s="19">
        <v>0.34442129629629631</v>
      </c>
      <c r="D115" s="19">
        <v>0.22203703703703703</v>
      </c>
      <c r="E115" s="19">
        <v>5.1342592592592586E-2</v>
      </c>
      <c r="F115">
        <v>72</v>
      </c>
      <c r="G115">
        <v>0.58165871362322696</v>
      </c>
    </row>
    <row r="116" spans="1:7">
      <c r="A116" t="s">
        <v>464</v>
      </c>
      <c r="B116" t="s">
        <v>1113</v>
      </c>
      <c r="C116" s="19">
        <v>0.33370370370370367</v>
      </c>
      <c r="D116" s="19">
        <v>0.21053240740740742</v>
      </c>
      <c r="E116" s="19">
        <v>4.8472222222222222E-2</v>
      </c>
      <c r="F116">
        <v>73</v>
      </c>
      <c r="G116">
        <v>0.59073251942286398</v>
      </c>
    </row>
    <row r="117" spans="1:7">
      <c r="A117" t="s">
        <v>466</v>
      </c>
      <c r="B117" t="s">
        <v>1113</v>
      </c>
      <c r="C117" s="19">
        <v>0.34518518518518521</v>
      </c>
      <c r="D117" s="19">
        <v>0.21524305555555556</v>
      </c>
      <c r="E117" s="19">
        <v>4.9282407407407407E-2</v>
      </c>
      <c r="F117">
        <v>74</v>
      </c>
      <c r="G117">
        <v>0.58640692060085797</v>
      </c>
    </row>
    <row r="118" spans="1:7">
      <c r="A118" t="s">
        <v>468</v>
      </c>
      <c r="B118" t="s">
        <v>1113</v>
      </c>
      <c r="C118" s="19">
        <v>0.3354050925925926</v>
      </c>
      <c r="D118" s="19">
        <v>0.19744212962962962</v>
      </c>
      <c r="E118" s="19">
        <v>5.0011574074074076E-2</v>
      </c>
      <c r="F118">
        <v>75</v>
      </c>
      <c r="G118">
        <v>0.54653369681493502</v>
      </c>
    </row>
    <row r="119" spans="1:7">
      <c r="A119" t="s">
        <v>472</v>
      </c>
      <c r="B119" t="s">
        <v>1114</v>
      </c>
      <c r="C119" s="19">
        <v>0.33627314814814818</v>
      </c>
      <c r="D119" s="19">
        <v>0.18991898148148148</v>
      </c>
      <c r="E119" s="19">
        <v>6.4317129629629641E-2</v>
      </c>
      <c r="F119">
        <v>76</v>
      </c>
      <c r="G119">
        <v>0.53238796723342696</v>
      </c>
    </row>
    <row r="120" spans="1:7">
      <c r="A120" t="s">
        <v>476</v>
      </c>
      <c r="B120" t="s">
        <v>1115</v>
      </c>
      <c r="C120" s="19">
        <v>0.33471064814814816</v>
      </c>
      <c r="D120" s="19">
        <v>0.18868055555555555</v>
      </c>
      <c r="E120" s="19">
        <v>7.3344907407407414E-2</v>
      </c>
      <c r="F120">
        <v>77</v>
      </c>
      <c r="G120">
        <v>0.47020989660776702</v>
      </c>
    </row>
    <row r="121" spans="1:7">
      <c r="A121" t="s">
        <v>481</v>
      </c>
      <c r="B121" t="s">
        <v>1116</v>
      </c>
      <c r="C121" s="19">
        <v>0.33974537037037034</v>
      </c>
      <c r="D121" s="19">
        <v>0.20261574074074074</v>
      </c>
      <c r="E121" s="19">
        <v>4.7754629629629626E-2</v>
      </c>
      <c r="F121">
        <v>78</v>
      </c>
      <c r="G121">
        <v>0.54633099407235797</v>
      </c>
    </row>
    <row r="122" spans="1:7">
      <c r="A122" t="s">
        <v>484</v>
      </c>
      <c r="B122" t="s">
        <v>1117</v>
      </c>
      <c r="C122" s="19">
        <v>0.34557870370370369</v>
      </c>
      <c r="D122" s="19">
        <v>0.1431597222222222</v>
      </c>
      <c r="E122" s="19">
        <v>0.15493055555555554</v>
      </c>
      <c r="F122">
        <v>79</v>
      </c>
      <c r="G122">
        <v>0.38820416638756799</v>
      </c>
    </row>
    <row r="123" spans="1:7">
      <c r="A123" t="s">
        <v>488</v>
      </c>
      <c r="B123" t="s">
        <v>1118</v>
      </c>
      <c r="C123" s="19">
        <v>0.33189814814814816</v>
      </c>
      <c r="D123" s="19">
        <v>0.1439236111111111</v>
      </c>
      <c r="E123" s="19">
        <v>0.13547453703703705</v>
      </c>
      <c r="F123">
        <v>80</v>
      </c>
      <c r="G123">
        <v>0.40277584042404802</v>
      </c>
    </row>
    <row r="124" spans="1:7">
      <c r="A124" t="s">
        <v>494</v>
      </c>
      <c r="B124" t="s">
        <v>1119</v>
      </c>
      <c r="C124" s="19">
        <v>0.34369212962962964</v>
      </c>
      <c r="D124" s="19">
        <v>0.22164351851851852</v>
      </c>
      <c r="E124" s="19">
        <v>4.8599537037037038E-2</v>
      </c>
      <c r="F124">
        <v>81</v>
      </c>
      <c r="G124">
        <v>0.54352584610203702</v>
      </c>
    </row>
    <row r="125" spans="1:7">
      <c r="A125" t="s">
        <v>495</v>
      </c>
      <c r="B125" t="s">
        <v>1120</v>
      </c>
      <c r="C125" s="19">
        <v>0.3548263888888889</v>
      </c>
      <c r="D125" s="19">
        <v>0.15355324074074075</v>
      </c>
      <c r="E125" s="19">
        <v>3.8645833333333331E-2</v>
      </c>
      <c r="F125">
        <v>82</v>
      </c>
      <c r="G125">
        <v>0.28371986821932998</v>
      </c>
    </row>
    <row r="126" spans="1:7">
      <c r="A126" t="s">
        <v>498</v>
      </c>
      <c r="B126" t="s">
        <v>1121</v>
      </c>
      <c r="C126" s="19">
        <v>0.36775462962962963</v>
      </c>
      <c r="D126" s="19">
        <v>0.21557870370370369</v>
      </c>
      <c r="E126" s="19">
        <v>7.048611111111111E-2</v>
      </c>
      <c r="F126">
        <v>83</v>
      </c>
      <c r="G126">
        <v>0.56196890539434796</v>
      </c>
    </row>
    <row r="127" spans="1:7">
      <c r="A127" t="s">
        <v>502</v>
      </c>
      <c r="B127" t="s">
        <v>1122</v>
      </c>
      <c r="C127" s="19">
        <v>0.35119212962962965</v>
      </c>
      <c r="D127" s="19">
        <v>0.15380787037037039</v>
      </c>
      <c r="E127" s="19">
        <v>0.14153935185185185</v>
      </c>
      <c r="F127">
        <v>84</v>
      </c>
      <c r="G127">
        <v>0.40332201825791802</v>
      </c>
    </row>
    <row r="128" spans="1:7">
      <c r="A128" t="s">
        <v>507</v>
      </c>
      <c r="B128" t="s">
        <v>1123</v>
      </c>
      <c r="C128" s="19">
        <v>0.34143518518518517</v>
      </c>
      <c r="D128" s="19">
        <v>0.17545138888888889</v>
      </c>
      <c r="E128" s="19">
        <v>9.5694444444444457E-2</v>
      </c>
      <c r="F128">
        <v>85</v>
      </c>
      <c r="G128">
        <v>0.43796610169491501</v>
      </c>
    </row>
    <row r="129" spans="1:7">
      <c r="A129" t="s">
        <v>511</v>
      </c>
      <c r="B129" t="s">
        <v>1124</v>
      </c>
      <c r="C129" s="19">
        <v>0.34533564814814816</v>
      </c>
      <c r="D129" s="19">
        <v>0.20476851851851852</v>
      </c>
      <c r="E129" s="19">
        <v>5.5231481481481486E-2</v>
      </c>
      <c r="F129">
        <v>86</v>
      </c>
      <c r="G129">
        <v>0.55581995508931903</v>
      </c>
    </row>
    <row r="130" spans="1:7">
      <c r="A130" t="s">
        <v>515</v>
      </c>
      <c r="B130" t="s">
        <v>1125</v>
      </c>
      <c r="C130" s="19">
        <v>0.34416666666666668</v>
      </c>
      <c r="D130" s="19">
        <v>0.12054398148148149</v>
      </c>
      <c r="E130" s="19">
        <v>0.19140046296296295</v>
      </c>
      <c r="F130">
        <v>87</v>
      </c>
      <c r="G130">
        <v>0.326035781544256</v>
      </c>
    </row>
    <row r="131" spans="1:7">
      <c r="A131" t="s">
        <v>520</v>
      </c>
      <c r="B131" t="s">
        <v>1126</v>
      </c>
      <c r="C131" s="19">
        <v>0.33975694444444443</v>
      </c>
      <c r="D131" s="19">
        <v>0.21278935185185185</v>
      </c>
      <c r="E131" s="19">
        <v>4.8506944444444443E-2</v>
      </c>
      <c r="F131">
        <v>88</v>
      </c>
      <c r="G131">
        <v>0.57404190086867701</v>
      </c>
    </row>
    <row r="132" spans="1:7">
      <c r="A132" t="s">
        <v>523</v>
      </c>
      <c r="B132" t="s">
        <v>1127</v>
      </c>
      <c r="C132" s="19">
        <v>0.33380787037037035</v>
      </c>
      <c r="D132" s="19">
        <v>0.1744212962962963</v>
      </c>
      <c r="E132" s="19">
        <v>8.1423611111111113E-2</v>
      </c>
      <c r="F132">
        <v>89</v>
      </c>
      <c r="G132">
        <v>0.45359037481363301</v>
      </c>
    </row>
    <row r="133" spans="1:7">
      <c r="A133" t="s">
        <v>526</v>
      </c>
      <c r="B133" t="s">
        <v>1128</v>
      </c>
      <c r="C133" s="19">
        <v>0.34012731481481479</v>
      </c>
      <c r="D133" s="19">
        <v>0.11028935185185185</v>
      </c>
      <c r="E133" s="19">
        <v>0.19189814814814818</v>
      </c>
      <c r="F133">
        <v>90</v>
      </c>
      <c r="G133">
        <v>0.29689998979140397</v>
      </c>
    </row>
    <row r="134" spans="1:7">
      <c r="A134" t="s">
        <v>530</v>
      </c>
      <c r="B134" t="s">
        <v>1129</v>
      </c>
      <c r="C134" s="19">
        <v>0.33354166666666668</v>
      </c>
      <c r="D134" s="19">
        <v>0.19138888888888891</v>
      </c>
      <c r="E134" s="19">
        <v>5.1666666666666666E-2</v>
      </c>
      <c r="F134">
        <v>91</v>
      </c>
      <c r="G134">
        <v>0.55729058227496697</v>
      </c>
    </row>
    <row r="135" spans="1:7">
      <c r="A135" t="s">
        <v>534</v>
      </c>
      <c r="B135" t="s">
        <v>1130</v>
      </c>
      <c r="C135" s="19">
        <v>0.3357175925925926</v>
      </c>
      <c r="D135" s="19">
        <v>0.12403935185185185</v>
      </c>
      <c r="E135" s="19">
        <v>0.1645486111111111</v>
      </c>
      <c r="F135">
        <v>92</v>
      </c>
      <c r="G135">
        <v>0.33279321519685601</v>
      </c>
    </row>
    <row r="136" spans="1:7">
      <c r="A136" t="s">
        <v>540</v>
      </c>
      <c r="B136" t="s">
        <v>1130</v>
      </c>
      <c r="C136" s="19">
        <v>0.33687500000000004</v>
      </c>
      <c r="D136" s="19">
        <v>0.17017361111111109</v>
      </c>
      <c r="E136" s="19">
        <v>9.5034722222222215E-2</v>
      </c>
      <c r="F136">
        <v>93</v>
      </c>
      <c r="G136">
        <v>0.472308115165258</v>
      </c>
    </row>
    <row r="137" spans="1:7">
      <c r="A137" t="s">
        <v>544</v>
      </c>
      <c r="B137" t="s">
        <v>1131</v>
      </c>
      <c r="C137" s="19">
        <v>0.33709490740740744</v>
      </c>
      <c r="D137" s="19">
        <v>0.18885416666666666</v>
      </c>
      <c r="E137" s="19">
        <v>8.7997685185185193E-2</v>
      </c>
      <c r="F137">
        <v>94</v>
      </c>
      <c r="G137">
        <v>0.51110729613733896</v>
      </c>
    </row>
    <row r="138" spans="1:7">
      <c r="A138" t="s">
        <v>549</v>
      </c>
      <c r="B138" t="s">
        <v>1132</v>
      </c>
      <c r="C138" s="19">
        <v>0.34307870370370369</v>
      </c>
      <c r="D138" s="19">
        <v>0.22166666666666668</v>
      </c>
      <c r="E138" s="19">
        <v>4.7395833333333331E-2</v>
      </c>
      <c r="F138">
        <v>95</v>
      </c>
      <c r="G138">
        <v>0.58886040078267299</v>
      </c>
    </row>
    <row r="139" spans="1:7">
      <c r="A139" t="s">
        <v>553</v>
      </c>
      <c r="B139" t="s">
        <v>1133</v>
      </c>
      <c r="C139" s="19">
        <v>0.31192129629629628</v>
      </c>
      <c r="D139" s="19">
        <v>0.12112268518518519</v>
      </c>
      <c r="E139" s="19">
        <v>0.1575462962962963</v>
      </c>
      <c r="F139">
        <v>96</v>
      </c>
      <c r="G139">
        <v>0.34289424860853401</v>
      </c>
    </row>
    <row r="140" spans="1:7">
      <c r="A140" t="s">
        <v>557</v>
      </c>
      <c r="B140" t="s">
        <v>1134</v>
      </c>
      <c r="C140" s="19">
        <v>0.35686342592592596</v>
      </c>
      <c r="D140" s="19">
        <v>0.19224537037037037</v>
      </c>
      <c r="E140" s="19">
        <v>9.5196759259259259E-2</v>
      </c>
      <c r="F140">
        <v>97</v>
      </c>
      <c r="G140">
        <v>0.497486459313074</v>
      </c>
    </row>
    <row r="141" spans="1:7">
      <c r="A141" t="s">
        <v>560</v>
      </c>
      <c r="B141" t="s">
        <v>1135</v>
      </c>
      <c r="C141" s="19">
        <v>0.34392361111111108</v>
      </c>
      <c r="D141" s="19">
        <v>0.20146990740740742</v>
      </c>
      <c r="E141" s="19">
        <v>4.8854166666666664E-2</v>
      </c>
      <c r="F141">
        <v>98</v>
      </c>
      <c r="G141">
        <v>0.52431431936732298</v>
      </c>
    </row>
    <row r="142" spans="1:7">
      <c r="A142" t="s">
        <v>562</v>
      </c>
      <c r="B142" t="s">
        <v>1136</v>
      </c>
      <c r="C142" s="19">
        <v>0.34658564814814818</v>
      </c>
      <c r="D142" s="19">
        <v>0.12475694444444445</v>
      </c>
      <c r="E142" s="19">
        <v>0.18931712962962963</v>
      </c>
      <c r="F142">
        <v>99</v>
      </c>
      <c r="G142">
        <v>0.31066956086157999</v>
      </c>
    </row>
    <row r="143" spans="1:7">
      <c r="A143" t="s">
        <v>568</v>
      </c>
      <c r="B143" t="s">
        <v>1137</v>
      </c>
      <c r="C143" s="19">
        <v>0.34281249999999996</v>
      </c>
      <c r="D143" s="19">
        <v>0.22505787037037037</v>
      </c>
      <c r="E143" s="19">
        <v>5.1898148148148145E-2</v>
      </c>
      <c r="F143">
        <v>100</v>
      </c>
      <c r="G143">
        <v>0.58462473412336702</v>
      </c>
    </row>
    <row r="144" spans="1:7">
      <c r="A144" t="s">
        <v>570</v>
      </c>
      <c r="B144" t="s">
        <v>1138</v>
      </c>
      <c r="C144" s="19">
        <v>0.35055555555555556</v>
      </c>
      <c r="D144" s="19">
        <v>0.11953703703703704</v>
      </c>
      <c r="E144" s="19">
        <v>0.21081018518518521</v>
      </c>
      <c r="F144">
        <v>101</v>
      </c>
      <c r="G144">
        <v>0.31685816164817698</v>
      </c>
    </row>
    <row r="145" spans="1:7">
      <c r="A145" t="s">
        <v>575</v>
      </c>
      <c r="B145" t="s">
        <v>1139</v>
      </c>
      <c r="C145" s="19">
        <v>0.34575231481481478</v>
      </c>
      <c r="D145" s="19">
        <v>0.20268518518518519</v>
      </c>
      <c r="E145" s="19">
        <v>5.004629629629629E-2</v>
      </c>
      <c r="F145">
        <v>102</v>
      </c>
      <c r="G145">
        <v>0.56375322197301903</v>
      </c>
    </row>
    <row r="146" spans="1:7">
      <c r="A146" t="s">
        <v>577</v>
      </c>
      <c r="B146" t="s">
        <v>1140</v>
      </c>
      <c r="C146" s="19">
        <v>0.35479166666666667</v>
      </c>
      <c r="D146" s="19">
        <v>0.21916666666666665</v>
      </c>
      <c r="E146" s="19">
        <v>3.8946759259259257E-2</v>
      </c>
      <c r="F146">
        <v>103</v>
      </c>
      <c r="G146">
        <v>0.54779147908918902</v>
      </c>
    </row>
    <row r="147" spans="1:7">
      <c r="A147" t="s">
        <v>580</v>
      </c>
      <c r="B147" t="s">
        <v>1141</v>
      </c>
      <c r="C147" s="19">
        <v>0.36542824074074076</v>
      </c>
      <c r="D147" s="19">
        <v>0.15059027777777778</v>
      </c>
      <c r="E147" s="19">
        <v>0.16840277777777779</v>
      </c>
      <c r="F147">
        <v>104</v>
      </c>
      <c r="G147">
        <v>0.37965983593576802</v>
      </c>
    </row>
    <row r="148" spans="1:7">
      <c r="A148" t="s">
        <v>586</v>
      </c>
      <c r="B148" t="s">
        <v>1142</v>
      </c>
      <c r="C148" s="19">
        <v>0.34370370370370368</v>
      </c>
      <c r="D148" s="19">
        <v>0.21891203703703702</v>
      </c>
      <c r="E148" s="19">
        <v>5.0127314814814812E-2</v>
      </c>
      <c r="F148">
        <v>105</v>
      </c>
      <c r="G148">
        <v>0.56529498922413801</v>
      </c>
    </row>
    <row r="149" spans="1:7">
      <c r="A149" t="s">
        <v>590</v>
      </c>
      <c r="B149" t="s">
        <v>1143</v>
      </c>
      <c r="C149" s="19">
        <v>0.20827546296296295</v>
      </c>
      <c r="D149" s="19">
        <v>0.1310300925925926</v>
      </c>
      <c r="E149" s="19">
        <v>1.045138888888889E-2</v>
      </c>
      <c r="F149">
        <v>106</v>
      </c>
      <c r="G149">
        <v>0.60261183662128404</v>
      </c>
    </row>
    <row r="150" spans="1:7">
      <c r="A150" t="s">
        <v>592</v>
      </c>
      <c r="B150" t="s">
        <v>1144</v>
      </c>
      <c r="C150" s="19">
        <v>0.35688657407407409</v>
      </c>
      <c r="D150" s="19">
        <v>0.19362268518518519</v>
      </c>
      <c r="E150" s="19">
        <v>9.5034722222222215E-2</v>
      </c>
      <c r="F150">
        <v>107</v>
      </c>
      <c r="G150">
        <v>0.49813523593319298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8"/>
  <sheetViews>
    <sheetView tabSelected="1" workbookViewId="0">
      <selection activeCell="G4" sqref="G4"/>
    </sheetView>
  </sheetViews>
  <sheetFormatPr defaultRowHeight="15"/>
  <cols>
    <col min="1" max="1" width="16.7109375" customWidth="1"/>
    <col min="2" max="2" width="32.7109375" customWidth="1"/>
    <col min="3" max="3" width="5.5703125" customWidth="1"/>
    <col min="4" max="4" width="14.28515625" customWidth="1"/>
    <col min="5" max="5" width="32.85546875" customWidth="1"/>
    <col min="6" max="6" width="23.28515625" bestFit="1" customWidth="1"/>
  </cols>
  <sheetData>
    <row r="1" spans="1:6">
      <c r="A1" s="16"/>
      <c r="B1" s="16"/>
      <c r="C1" s="20">
        <v>4</v>
      </c>
      <c r="D1" s="16"/>
      <c r="E1" s="16"/>
    </row>
    <row r="2" spans="1:6">
      <c r="A2" s="16"/>
      <c r="B2" s="16"/>
      <c r="C2">
        <v>4</v>
      </c>
      <c r="D2" s="16"/>
      <c r="E2" s="16"/>
    </row>
    <row r="3" spans="1:6" ht="18.75">
      <c r="A3" s="17" t="s">
        <v>1146</v>
      </c>
      <c r="B3" s="18"/>
      <c r="D3" s="17" t="s">
        <v>1146</v>
      </c>
      <c r="E3" s="18"/>
    </row>
    <row r="4" spans="1:6">
      <c r="A4" s="14" t="s">
        <v>1003</v>
      </c>
      <c r="B4" t="s">
        <v>1145</v>
      </c>
      <c r="D4" s="14" t="s">
        <v>1003</v>
      </c>
      <c r="E4" t="s">
        <v>1147</v>
      </c>
    </row>
    <row r="5" spans="1:6">
      <c r="A5" s="15" t="s">
        <v>1019</v>
      </c>
      <c r="B5" s="12">
        <v>1.3668402777777777</v>
      </c>
      <c r="D5" s="15" t="s">
        <v>1019</v>
      </c>
      <c r="E5" s="21">
        <v>2.0905948641136138</v>
      </c>
      <c r="F5" s="22"/>
    </row>
    <row r="6" spans="1:6">
      <c r="A6" s="15" t="s">
        <v>1089</v>
      </c>
      <c r="B6" s="12">
        <v>0.67937500000000006</v>
      </c>
      <c r="D6" s="15" t="s">
        <v>1056</v>
      </c>
      <c r="E6" s="21">
        <v>1.064298009533315</v>
      </c>
    </row>
    <row r="7" spans="1:6">
      <c r="A7" s="15" t="s">
        <v>1113</v>
      </c>
      <c r="B7" s="12">
        <v>1.0142939814814815</v>
      </c>
      <c r="D7" s="15" t="s">
        <v>1089</v>
      </c>
      <c r="E7" s="21">
        <v>1.122824596941316</v>
      </c>
    </row>
    <row r="8" spans="1:6">
      <c r="A8" s="15" t="s">
        <v>1130</v>
      </c>
      <c r="B8" s="12">
        <v>0.67259259259259263</v>
      </c>
      <c r="D8" s="15" t="s">
        <v>1113</v>
      </c>
      <c r="E8" s="21">
        <v>1.7236731368386569</v>
      </c>
    </row>
  </sheetData>
  <pageMargins left="0.7" right="0.7" top="0.75" bottom="0.75" header="0.3" footer="0.3"/>
  <pageSetup orientation="portrait" horizontalDpi="300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Spinner 2">
              <controlPr defaultSize="0" autoPict="0" macro="[0]!Spinner1_Code">
                <anchor moveWithCells="1" sizeWithCells="1">
                  <from>
                    <xdr:col>1</xdr:col>
                    <xdr:colOff>1762125</xdr:colOff>
                    <xdr:row>9</xdr:row>
                    <xdr:rowOff>76200</xdr:rowOff>
                  </from>
                  <to>
                    <xdr:col>1</xdr:col>
                    <xdr:colOff>2019300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7" name="Spinner 1">
              <controlPr defaultSize="0" autoPict="0" macro="[0]!Spinner1_Code">
                <anchor moveWithCells="1" sizeWithCells="1">
                  <from>
                    <xdr:col>1</xdr:col>
                    <xdr:colOff>571500</xdr:colOff>
                    <xdr:row>0</xdr:row>
                    <xdr:rowOff>19050</xdr:rowOff>
                  </from>
                  <to>
                    <xdr:col>1</xdr:col>
                    <xdr:colOff>828675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Spinner 8">
              <controlPr defaultSize="0" autoPict="0" macro="[0]!Spinner8_code">
                <anchor moveWithCells="1" sizeWithCells="1">
                  <from>
                    <xdr:col>4</xdr:col>
                    <xdr:colOff>571500</xdr:colOff>
                    <xdr:row>0</xdr:row>
                    <xdr:rowOff>19050</xdr:rowOff>
                  </from>
                  <to>
                    <xdr:col>4</xdr:col>
                    <xdr:colOff>828675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Spinner 9">
              <controlPr defaultSize="0" autoPict="0" macro="[0]!Spinner8_code">
                <anchor moveWithCells="1" sizeWithCells="1">
                  <from>
                    <xdr:col>4</xdr:col>
                    <xdr:colOff>1866900</xdr:colOff>
                    <xdr:row>9</xdr:row>
                    <xdr:rowOff>76200</xdr:rowOff>
                  </from>
                  <to>
                    <xdr:col>4</xdr:col>
                    <xdr:colOff>2085975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Break</vt:lpstr>
      <vt:lpstr>Efficiency</vt:lpstr>
      <vt:lpstr>Overall Performence</vt:lpstr>
      <vt:lpstr>Summary</vt:lpstr>
      <vt:lpstr>Sheet6</vt:lpstr>
      <vt:lpstr>Sheet7</vt:lpstr>
      <vt:lpstr>Dashboard</vt:lpstr>
      <vt:lpstr>BData</vt:lpstr>
      <vt:lpstr>Break</vt:lpstr>
      <vt:lpstr>E_Data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2026-02-14T07:24:32Z</dcterms:created>
  <dcterms:modified xsi:type="dcterms:W3CDTF">2026-02-16T09:24:30Z</dcterms:modified>
</cp:coreProperties>
</file>